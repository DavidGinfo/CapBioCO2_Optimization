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nsch\Desktop\"/>
    </mc:Choice>
  </mc:AlternateContent>
  <xr:revisionPtr revIDLastSave="0" documentId="13_ncr:1_{73601476-4C82-4258-A7D0-870E39CDA43B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1 - MCDI System" sheetId="5" r:id="rId1"/>
    <sheet name="2 - MCDI Parameters" sheetId="6" r:id="rId2"/>
    <sheet name="3 - MCDI Procedure" sheetId="1" r:id="rId3"/>
    <sheet name="Parametric Analysis" sheetId="3" r:id="rId4"/>
    <sheet name="X - ABC characterization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70" i="3" l="1"/>
  <c r="P69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L47" i="3"/>
  <c r="L22" i="3" l="1"/>
  <c r="L45" i="3" l="1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<sst xmlns="http://schemas.openxmlformats.org/spreadsheetml/2006/main" count="768" uniqueCount="281">
  <si>
    <t>MCDI measurement procedure</t>
  </si>
  <si>
    <t>MCDI validation procedure</t>
  </si>
  <si>
    <t>Prepare solution</t>
  </si>
  <si>
    <t xml:space="preserve">Inlet conductivity comparable </t>
  </si>
  <si>
    <t>Calculate amount of ABC for desired concentration. 
 - 35 L @ 0,5 g/L =&gt; 76,7 g ABC
 - 35 L @ 1 g/L =&gt;  153,4 g ABC</t>
  </si>
  <si>
    <t>Average inlet conductivity should be comparable over 
different measurement series:
Deviation rules: +/- 5 % good, +/- 10 % absolute limit</t>
  </si>
  <si>
    <t xml:space="preserve">Fill barrel with 35 l DI or tab water (accord. Experiment). </t>
  </si>
  <si>
    <t xml:space="preserve">Weigh ABC and dissolve in water. </t>
  </si>
  <si>
    <t>Phase timings</t>
  </si>
  <si>
    <t xml:space="preserve">Min conductivity reached and exceeded? </t>
  </si>
  <si>
    <t>Start system</t>
  </si>
  <si>
    <t xml:space="preserve">Min &amp; max conductivity stable, no offset due to short regeneration
phase? </t>
  </si>
  <si>
    <t>Turn on main switch (red knobe) &amp; MCDI laptop.</t>
  </si>
  <si>
    <t>Start Voltea Software.</t>
  </si>
  <si>
    <t xml:space="preserve">Switch to "Manual Mode" tab. </t>
  </si>
  <si>
    <t>Flushing</t>
  </si>
  <si>
    <t xml:space="preserve">Put "pure" and "concentrate" hoses in waste. </t>
  </si>
  <si>
    <t xml:space="preserve">Set pump speed to 20-30 %. </t>
  </si>
  <si>
    <t xml:space="preserve">Turn on shunt mode. </t>
  </si>
  <si>
    <t xml:space="preserve">Start by pressing "Set state now". </t>
  </si>
  <si>
    <t>Wait approx. 15-25 mins until (EC_out - EC_in) &lt; 0,01 mS/cm.</t>
  </si>
  <si>
    <t xml:space="preserve">Put "pure" and "concentrate" hoses in separate barrels. </t>
  </si>
  <si>
    <t>Parameter setup</t>
  </si>
  <si>
    <t>Long term stability</t>
  </si>
  <si>
    <t xml:space="preserve">Switch to "Data Acquisition" tab. </t>
  </si>
  <si>
    <t xml:space="preserve">Choose folder and file name for log file and press "Save". </t>
  </si>
  <si>
    <t xml:space="preserve">Switch to "Set Points" tab. </t>
  </si>
  <si>
    <t xml:space="preserve">Adjust parameter settings according experiment and press "Set now". </t>
  </si>
  <si>
    <t>Check balance calculation.</t>
  </si>
  <si>
    <t xml:space="preserve">Switch to "Dashboard" tab. </t>
  </si>
  <si>
    <t>Measurement</t>
  </si>
  <si>
    <t xml:space="preserve">Start automatic mode by pressing "Start". </t>
  </si>
  <si>
    <t xml:space="preserve">Observe sensor values over phases in tabs "Data" and "Data Summary". </t>
  </si>
  <si>
    <t>Wait 10-15 mins (= 3-5 cycles) and stop by pressing "Stop" in "Dashboard" tab.</t>
  </si>
  <si>
    <t xml:space="preserve">Extract data with USB drive. </t>
  </si>
  <si>
    <t>Shunting</t>
  </si>
  <si>
    <t xml:space="preserve">Return "pure" and "concentrate" to feed barrel. </t>
  </si>
  <si>
    <t>Repeat from step 3 with recirculation instead of hoses to waste.</t>
  </si>
  <si>
    <t>X</t>
  </si>
  <si>
    <t>Cleaning</t>
  </si>
  <si>
    <t xml:space="preserve">Clean the MCDI by removing the filter, pour out the model solution, shunt it with </t>
  </si>
  <si>
    <t xml:space="preserve">tape water till ECin equals ECout. Empty and clean the barrels with tape water. </t>
  </si>
  <si>
    <t>Sample taking (feed, concentrate, permeate): take solution from whole phase, mix, take sample</t>
  </si>
  <si>
    <t>INPUT</t>
  </si>
  <si>
    <t>MEASUREMENTS</t>
  </si>
  <si>
    <t>c NH4+
in mg/L</t>
  </si>
  <si>
    <t>equ. ABC
in mg/L</t>
  </si>
  <si>
    <t>T
in °C</t>
  </si>
  <si>
    <t>EC 
in uS/cm</t>
  </si>
  <si>
    <t xml:space="preserve">pH
</t>
  </si>
  <si>
    <t>-</t>
  </si>
  <si>
    <t>Obj.</t>
  </si>
  <si>
    <t>VALID.</t>
  </si>
  <si>
    <t>OUTPUT</t>
  </si>
  <si>
    <t>MEASUREMENT</t>
  </si>
  <si>
    <t>Solution</t>
  </si>
  <si>
    <t>MCDI parameters per phase (C/PP/P)</t>
  </si>
  <si>
    <t>Average</t>
  </si>
  <si>
    <t>Peak</t>
  </si>
  <si>
    <t>Test #</t>
  </si>
  <si>
    <t>Mol.
(g/L)</t>
  </si>
  <si>
    <r>
      <rPr>
        <b/>
        <sz val="12"/>
        <rFont val="Calibri"/>
        <family val="2"/>
        <charset val="1"/>
      </rPr>
      <t>H</t>
    </r>
    <r>
      <rPr>
        <b/>
        <vertAlign val="subscript"/>
        <sz val="12"/>
        <rFont val="Calibri"/>
        <family val="2"/>
        <charset val="1"/>
      </rPr>
      <t>2</t>
    </r>
    <r>
      <rPr>
        <b/>
        <sz val="12"/>
        <rFont val="Calibri"/>
        <family val="2"/>
        <charset val="1"/>
      </rPr>
      <t xml:space="preserve">O
</t>
    </r>
  </si>
  <si>
    <t>Time
(s)</t>
  </si>
  <si>
    <t>Flow
 (L/min)</t>
  </si>
  <si>
    <t>Volt. Lim.
(V)</t>
  </si>
  <si>
    <t>Curr. Lim.
(A)</t>
  </si>
  <si>
    <t>Check</t>
  </si>
  <si>
    <t>EC In 
(mS/cm)</t>
  </si>
  <si>
    <t>EC In Dev. (%)</t>
  </si>
  <si>
    <t>EC Pure
(mS/cm)</t>
  </si>
  <si>
    <t>Remov. 
(%)</t>
  </si>
  <si>
    <t>SEC 
(kWh/m³)</t>
  </si>
  <si>
    <t>Ry 
(%)</t>
  </si>
  <si>
    <t>Min EC Pure (mS/cm)</t>
  </si>
  <si>
    <t>Max. Remov. (%)</t>
  </si>
  <si>
    <t>Avg. EC In (mS/cm)</t>
  </si>
  <si>
    <t>Avg. EC Pure (mS/cm)</t>
  </si>
  <si>
    <t>0 - General Tests</t>
  </si>
  <si>
    <t>0.1</t>
  </si>
  <si>
    <t>DI</t>
  </si>
  <si>
    <t>95/15/80</t>
  </si>
  <si>
    <t>0,45/0,5/0,5</t>
  </si>
  <si>
    <t>1,95/1,5/1,5</t>
  </si>
  <si>
    <t>60/50/55</t>
  </si>
  <si>
    <t>0.2</t>
  </si>
  <si>
    <t>0,35/0,4/0,4</t>
  </si>
  <si>
    <t>0.3</t>
  </si>
  <si>
    <t>0,3/0,3/0,3</t>
  </si>
  <si>
    <t>0.4</t>
  </si>
  <si>
    <t>0,25/0,25/0,25</t>
  </si>
  <si>
    <t>0.5</t>
  </si>
  <si>
    <t>1,9/1,9/1,9</t>
  </si>
  <si>
    <t>0.6</t>
  </si>
  <si>
    <t>95/15/70</t>
  </si>
  <si>
    <t>60/55/55</t>
  </si>
  <si>
    <t>0.7</t>
  </si>
  <si>
    <t>60/55/60</t>
  </si>
  <si>
    <t>0.8</t>
  </si>
  <si>
    <t>155/40/120</t>
  </si>
  <si>
    <t>Invalid</t>
  </si>
  <si>
    <t>0.9</t>
  </si>
  <si>
    <t>0.10</t>
  </si>
  <si>
    <t>1 - Pre-Optimization 0,5</t>
  </si>
  <si>
    <t>1.1</t>
  </si>
  <si>
    <t>155/45/120</t>
  </si>
  <si>
    <t>1.2</t>
  </si>
  <si>
    <t>1.3</t>
  </si>
  <si>
    <t>1.4</t>
  </si>
  <si>
    <t>1.5</t>
  </si>
  <si>
    <t>0,55/0,6/0,6</t>
  </si>
  <si>
    <t>1.6</t>
  </si>
  <si>
    <t>0,65/0,7/0,7</t>
  </si>
  <si>
    <t>1.7</t>
  </si>
  <si>
    <t>0,75/0,8/0,8</t>
  </si>
  <si>
    <t>1.8</t>
  </si>
  <si>
    <t>0,85/0,9/0,9</t>
  </si>
  <si>
    <t>2 - Current/Flow-Field 0.5 g/l</t>
  </si>
  <si>
    <t>2.1</t>
  </si>
  <si>
    <t>0,4/0,45/0,45</t>
  </si>
  <si>
    <t>2.2</t>
  </si>
  <si>
    <t>Valid</t>
  </si>
  <si>
    <t>2.3</t>
  </si>
  <si>
    <t>0,5/0,55/0,55</t>
  </si>
  <si>
    <t>2.4</t>
  </si>
  <si>
    <t>2.5</t>
  </si>
  <si>
    <t>0,6/0,65/0,65</t>
  </si>
  <si>
    <t>2.6</t>
  </si>
  <si>
    <t>2.7</t>
  </si>
  <si>
    <t>0,7/0,75/0,75</t>
  </si>
  <si>
    <t>2.8</t>
  </si>
  <si>
    <t>2.9</t>
  </si>
  <si>
    <t>50/45/45</t>
  </si>
  <si>
    <t>2.10</t>
  </si>
  <si>
    <t>2.11</t>
  </si>
  <si>
    <t>2.12</t>
  </si>
  <si>
    <t>2.13</t>
  </si>
  <si>
    <t>2.14</t>
  </si>
  <si>
    <t>2.15</t>
  </si>
  <si>
    <t>2.16</t>
  </si>
  <si>
    <t>2.17</t>
  </si>
  <si>
    <t>40/35/35</t>
  </si>
  <si>
    <t>2.18</t>
  </si>
  <si>
    <t>2.19</t>
  </si>
  <si>
    <t>2.20</t>
  </si>
  <si>
    <t>2.21</t>
  </si>
  <si>
    <t>2.22</t>
  </si>
  <si>
    <t>2.23</t>
  </si>
  <si>
    <t>2.24</t>
  </si>
  <si>
    <t>1,95/1,95/1,95</t>
  </si>
  <si>
    <t xml:space="preserve">Invalid </t>
  </si>
  <si>
    <t>pH Pure</t>
  </si>
  <si>
    <t xml:space="preserve">pH Conc. </t>
  </si>
  <si>
    <t xml:space="preserve">Test Remarks </t>
  </si>
  <si>
    <t>Exceeded absolute limit (Deviation rule violation)</t>
  </si>
  <si>
    <t xml:space="preserve">Exceeded voltage limit. </t>
  </si>
  <si>
    <t xml:space="preserve">Met all the criterias. </t>
  </si>
  <si>
    <t>Min &amp; max voltage stable, not increasing and exceeding 1,2 V limit</t>
  </si>
  <si>
    <t xml:space="preserve"> offset due to short regeneration phase. </t>
  </si>
  <si>
    <t xml:space="preserve">offset due to short regeneration phase. </t>
  </si>
  <si>
    <t>2.22.1</t>
  </si>
  <si>
    <t>2.23.1</t>
  </si>
  <si>
    <t>2.24.1</t>
  </si>
  <si>
    <t>3.1</t>
  </si>
  <si>
    <t>3.2</t>
  </si>
  <si>
    <t>3.3</t>
  </si>
  <si>
    <t>3.4</t>
  </si>
  <si>
    <t>3.5</t>
  </si>
  <si>
    <t>3 - Concentration Series</t>
  </si>
  <si>
    <t>4.1</t>
  </si>
  <si>
    <t>4.2</t>
  </si>
  <si>
    <t>4 -  pH Series</t>
  </si>
  <si>
    <t>5.1</t>
  </si>
  <si>
    <t xml:space="preserve">Tap </t>
  </si>
  <si>
    <t>5 - tap water</t>
  </si>
  <si>
    <t>6.1</t>
  </si>
  <si>
    <t>6.2</t>
  </si>
  <si>
    <t>6.3</t>
  </si>
  <si>
    <t>6 -  Recovery Series</t>
  </si>
  <si>
    <t>185/45/160</t>
  </si>
  <si>
    <t>6.4</t>
  </si>
  <si>
    <t>6.5</t>
  </si>
  <si>
    <t>0,5/0,6/0,9</t>
  </si>
  <si>
    <t>0,4/0,5/1</t>
  </si>
  <si>
    <t>185/25/170</t>
  </si>
  <si>
    <t>0,4/0,6/0,9</t>
  </si>
  <si>
    <t>185/25/180</t>
  </si>
  <si>
    <t>6.7</t>
  </si>
  <si>
    <t>6.8</t>
  </si>
  <si>
    <t>6.9</t>
  </si>
  <si>
    <t>190/25/200</t>
  </si>
  <si>
    <t>0,3/0,4/0,9</t>
  </si>
  <si>
    <t>55/35/45</t>
  </si>
  <si>
    <t>170/15/200</t>
  </si>
  <si>
    <t>45/35/35</t>
  </si>
  <si>
    <t>6.6</t>
  </si>
  <si>
    <t>0,25/0,25/0,95</t>
  </si>
  <si>
    <t>0,3/0,3/0.9</t>
  </si>
  <si>
    <t>7 - Recirculation</t>
  </si>
  <si>
    <t>7.1</t>
  </si>
  <si>
    <t>175/70/125</t>
  </si>
  <si>
    <t>175/15/165</t>
  </si>
  <si>
    <t>MCDI</t>
  </si>
  <si>
    <t>Removal (%)</t>
  </si>
  <si>
    <t>Recovery (%)</t>
  </si>
  <si>
    <t>SEC (kW/m³)</t>
  </si>
  <si>
    <t>→</t>
  </si>
  <si>
    <t>Phase</t>
  </si>
  <si>
    <t>Phase
Parameters</t>
  </si>
  <si>
    <t>Boundaries</t>
  </si>
  <si>
    <t>1.2 V cell voltage</t>
  </si>
  <si>
    <t>electrode capacitance</t>
  </si>
  <si>
    <t>measuremsn</t>
  </si>
  <si>
    <t xml:space="preserve">system </t>
  </si>
  <si>
    <t>2 - Pre-Purify (PP)</t>
  </si>
  <si>
    <t>1 - Concentrate</t>
  </si>
  <si>
    <t>Parameter</t>
  </si>
  <si>
    <t>3 - Purify (P)</t>
  </si>
  <si>
    <t>Flow (L/min)</t>
  </si>
  <si>
    <t>Duration (s)</t>
  </si>
  <si>
    <t>Current (A)</t>
  </si>
  <si>
    <t>Recommended</t>
  </si>
  <si>
    <t>Instruction</t>
  </si>
  <si>
    <t xml:space="preserve">Effect of recirculation = effect of reduced flow… </t>
  </si>
  <si>
    <t>110 - 300</t>
  </si>
  <si>
    <t>15 - 50</t>
  </si>
  <si>
    <t>100 - 550</t>
  </si>
  <si>
    <t>20 - 30</t>
  </si>
  <si>
    <t>Range</t>
  </si>
  <si>
    <t>220 - 350</t>
  </si>
  <si>
    <t>0.3 - 0.5</t>
  </si>
  <si>
    <t>0.2 - 1.5</t>
  </si>
  <si>
    <t>Order of decision -&gt;</t>
  </si>
  <si>
    <t>Waste time &amp; flow rates</t>
  </si>
  <si>
    <t>Pure Current &amp; flow rate</t>
  </si>
  <si>
    <t>Capacitance C5: 7 g NaCl @ 1.5 V, 63 % of that as compromise for time -&gt; 4 g</t>
  </si>
  <si>
    <t>setting: in Di water folder "for Nick"</t>
  </si>
  <si>
    <t>cell voltage was reached!</t>
  </si>
  <si>
    <t>- Start with low flow for recovery (0.3) -&gt; increase later if needed</t>
  </si>
  <si>
    <t xml:space="preserve">- High current to empty membrane </t>
  </si>
  <si>
    <t>40 - 60</t>
  </si>
  <si>
    <t>- Choose short for recovery. 
- Attention: for longer times, cell voltage &gt; 1.2 V?? (@ 270 was reached)</t>
  </si>
  <si>
    <t>Main goals</t>
  </si>
  <si>
    <t xml:space="preserve">Produce low EC water for as long as possible. </t>
  </si>
  <si>
    <t xml:space="preserve">Empty membrane as fast and efficient as possible without wasting too much. </t>
  </si>
  <si>
    <t xml:space="preserve">Replace high EC solution with feed as efficient as possible. No absorption! </t>
  </si>
  <si>
    <t>&gt; 1.0</t>
  </si>
  <si>
    <t>- Goal: drop to half of feed EC (for desalination even less)</t>
  </si>
  <si>
    <t>- Not prooved, 1/3 to 2/3 of C phase.</t>
  </si>
  <si>
    <t>Next set</t>
  </si>
  <si>
    <t xml:space="preserve">- Flush the system fast. </t>
  </si>
  <si>
    <t>15 - 55</t>
  </si>
  <si>
    <t>Dead volume is a problem (in pipes filters, especially for recirculation -&gt; make after filter)</t>
  </si>
  <si>
    <t>45 - 55</t>
  </si>
  <si>
    <t>- Adapt for Charge balance. 
- Shorter if limit for conductivity (e.g. DI water) -&gt; always average</t>
  </si>
  <si>
    <t xml:space="preserve">Charge balance: in negative phase ©: 90 % of constant current achieved. In positive phase (P), maybe 60 - 70% -&gt; so no need to have exact charge balance. Voltea says 5 % more to empty good -&gt; still there is the CC thing. </t>
  </si>
  <si>
    <t xml:space="preserve">Recovery should be &gt; 60 %, 60 to 80 is normal, 85 % is maximum. </t>
  </si>
  <si>
    <t xml:space="preserve">- Can be reduced to improve desalination -&gt; worse recovery… </t>
  </si>
  <si>
    <t xml:space="preserve">- High for desalination, little lower than C. 
- Lower current for more stable operation, down to 40 for recovery. </t>
  </si>
  <si>
    <t xml:space="preserve">At Recovery &gt; 60 %: 3000 - 1800 90 % removal, 1800 - 600 97/98 % removal. </t>
  </si>
  <si>
    <t>k = A* (Rc * Rm)/SEC</t>
  </si>
  <si>
    <t>A: scaling factor, e.g. 10</t>
  </si>
  <si>
    <t>0.7 - 1.1</t>
  </si>
  <si>
    <t xml:space="preserve">Checks: </t>
  </si>
  <si>
    <t xml:space="preserve">Cell voltage okay? -&gt; otherwise decrease voltage or time… </t>
  </si>
  <si>
    <t xml:space="preserve">Phase timings: C -&gt; , PP -&gt; fast down, to slower change, P -&gt; to faster change up or limit… </t>
  </si>
  <si>
    <t xml:space="preserve">Long term stability -&gt; voltage stays the same, conductivities the same between cycles? </t>
  </si>
  <si>
    <t>Voltage (V)</t>
  </si>
  <si>
    <t>1.95</t>
  </si>
  <si>
    <t>0.5 - 0.7</t>
  </si>
  <si>
    <t>1.6 - 1.7</t>
  </si>
  <si>
    <t>Spalte1</t>
  </si>
  <si>
    <t>neglect units</t>
  </si>
  <si>
    <t>200-250</t>
  </si>
  <si>
    <t>1.1 - 2</t>
  </si>
  <si>
    <t>1.8 -&gt; 1.95 for old module</t>
  </si>
  <si>
    <t xml:space="preserve">recirculation: </t>
  </si>
  <si>
    <t>1.95/0.5/1.8</t>
  </si>
  <si>
    <t>60/25/55</t>
  </si>
  <si>
    <t>0.3/1.1/1.2</t>
  </si>
  <si>
    <t>250/30/270</t>
  </si>
  <si>
    <t>0.3/1.1/0.8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</si>
</sst>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1111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b/>
      <sz val="12"/>
      <name val="Calibri"/>
      <family val="2"/>
      <charset val="1"/>
    </font>
    <font>
      <b/>
      <vertAlign val="subscript"/>
      <sz val="12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Aptos Narrow"/>
      <family val="2"/>
    </font>
    <font>
      <sz val="14"/>
      <color theme="1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FFF2CC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5" tint="0.39988402966399123"/>
        <bgColor rgb="FFF8CBAD"/>
      </patternFill>
    </fill>
    <fill>
      <patternFill patternType="solid">
        <fgColor theme="7" tint="0.39988402966399123"/>
        <bgColor rgb="FFF8CBAD"/>
      </patternFill>
    </fill>
    <fill>
      <patternFill patternType="solid">
        <fgColor theme="6" tint="-0.249977111117893"/>
        <bgColor rgb="FF548235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6" tint="0.39988402966399123"/>
        <bgColor rgb="FFD0CECE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5" tint="0.59987182226020086"/>
        <bgColor rgb="FFF4B183"/>
      </patternFill>
    </fill>
    <fill>
      <patternFill patternType="solid">
        <fgColor theme="9" tint="0.39988402966399123"/>
        <bgColor rgb="FFBFBFBF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2" tint="-9.9978637043366805E-2"/>
        <bgColor rgb="FFC9C9C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rgb="FFBFBFB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0" fillId="0" borderId="0" applyBorder="0" applyProtection="0"/>
    <xf numFmtId="0" fontId="9" fillId="2" borderId="1" applyProtection="0"/>
  </cellStyleXfs>
  <cellXfs count="165">
    <xf numFmtId="0" fontId="0" fillId="0" borderId="0" xfId="0"/>
    <xf numFmtId="0" fontId="1" fillId="0" borderId="0" xfId="0" applyFont="1"/>
    <xf numFmtId="0" fontId="2" fillId="4" borderId="3" xfId="0" applyFont="1" applyFill="1" applyBorder="1"/>
    <xf numFmtId="0" fontId="2" fillId="4" borderId="4" xfId="0" applyFont="1" applyFill="1" applyBorder="1"/>
    <xf numFmtId="0" fontId="2" fillId="0" borderId="3" xfId="0" applyFont="1" applyBorder="1"/>
    <xf numFmtId="0" fontId="0" fillId="0" borderId="4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2" fillId="4" borderId="3" xfId="0" applyFont="1" applyFill="1" applyBorder="1" applyAlignment="1">
      <alignment horizontal="right"/>
    </xf>
    <xf numFmtId="0" fontId="4" fillId="0" borderId="4" xfId="0" applyFont="1" applyBorder="1"/>
    <xf numFmtId="0" fontId="2" fillId="0" borderId="5" xfId="0" applyFont="1" applyBorder="1"/>
    <xf numFmtId="0" fontId="5" fillId="0" borderId="0" xfId="0" applyFont="1"/>
    <xf numFmtId="0" fontId="2" fillId="0" borderId="0" xfId="0" applyFont="1"/>
    <xf numFmtId="0" fontId="6" fillId="7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7" fillId="9" borderId="3" xfId="0" applyFont="1" applyFill="1" applyBorder="1"/>
    <xf numFmtId="0" fontId="7" fillId="7" borderId="10" xfId="0" applyFont="1" applyFill="1" applyBorder="1" applyAlignment="1">
      <alignment horizontal="center" wrapText="1"/>
    </xf>
    <xf numFmtId="0" fontId="7" fillId="7" borderId="11" xfId="0" applyFont="1" applyFill="1" applyBorder="1" applyAlignment="1">
      <alignment horizontal="center" wrapText="1"/>
    </xf>
    <xf numFmtId="0" fontId="7" fillId="7" borderId="4" xfId="0" applyFont="1" applyFill="1" applyBorder="1" applyAlignment="1">
      <alignment horizontal="center" wrapText="1"/>
    </xf>
    <xf numFmtId="0" fontId="7" fillId="7" borderId="12" xfId="0" applyFont="1" applyFill="1" applyBorder="1" applyAlignment="1">
      <alignment horizontal="center" wrapText="1"/>
    </xf>
    <xf numFmtId="0" fontId="7" fillId="7" borderId="13" xfId="0" applyFont="1" applyFill="1" applyBorder="1" applyAlignment="1">
      <alignment horizontal="center" wrapText="1"/>
    </xf>
    <xf numFmtId="0" fontId="7" fillId="11" borderId="14" xfId="0" applyFont="1" applyFill="1" applyBorder="1" applyAlignment="1">
      <alignment horizontal="center"/>
    </xf>
    <xf numFmtId="0" fontId="9" fillId="12" borderId="14" xfId="2" applyFill="1" applyBorder="1" applyAlignment="1" applyProtection="1">
      <alignment horizontal="center" wrapText="1"/>
    </xf>
    <xf numFmtId="0" fontId="9" fillId="12" borderId="3" xfId="2" applyFill="1" applyBorder="1" applyAlignment="1" applyProtection="1">
      <alignment horizontal="center" wrapText="1"/>
    </xf>
    <xf numFmtId="0" fontId="9" fillId="8" borderId="14" xfId="2" applyFill="1" applyBorder="1" applyAlignment="1" applyProtection="1">
      <alignment horizontal="center" wrapText="1"/>
    </xf>
    <xf numFmtId="0" fontId="2" fillId="13" borderId="16" xfId="0" applyFont="1" applyFill="1" applyBorder="1"/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9" fontId="10" fillId="0" borderId="17" xfId="1" applyBorder="1" applyAlignment="1" applyProtection="1">
      <alignment horizontal="center"/>
    </xf>
    <xf numFmtId="0" fontId="2" fillId="13" borderId="18" xfId="0" applyFont="1" applyFill="1" applyBorder="1"/>
    <xf numFmtId="0" fontId="0" fillId="0" borderId="3" xfId="0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9" fontId="10" fillId="0" borderId="0" xfId="1" applyBorder="1" applyAlignment="1" applyProtection="1">
      <alignment horizontal="center"/>
    </xf>
    <xf numFmtId="0" fontId="0" fillId="8" borderId="0" xfId="0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14" xfId="0" applyBorder="1"/>
    <xf numFmtId="0" fontId="2" fillId="13" borderId="0" xfId="0" applyFont="1" applyFill="1"/>
    <xf numFmtId="0" fontId="2" fillId="13" borderId="19" xfId="0" applyFont="1" applyFill="1" applyBorder="1"/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10" fillId="0" borderId="19" xfId="1" applyBorder="1" applyAlignment="1" applyProtection="1">
      <alignment horizontal="center"/>
    </xf>
    <xf numFmtId="49" fontId="2" fillId="13" borderId="17" xfId="0" applyNumberFormat="1" applyFont="1" applyFill="1" applyBorder="1"/>
    <xf numFmtId="0" fontId="0" fillId="8" borderId="7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49" fontId="2" fillId="13" borderId="0" xfId="0" applyNumberFormat="1" applyFont="1" applyFill="1"/>
    <xf numFmtId="49" fontId="2" fillId="13" borderId="19" xfId="0" applyNumberFormat="1" applyFont="1" applyFill="1" applyBorder="1"/>
    <xf numFmtId="0" fontId="0" fillId="0" borderId="20" xfId="0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9" fillId="8" borderId="21" xfId="2" applyFill="1" applyBorder="1" applyAlignment="1" applyProtection="1">
      <alignment horizontal="center" wrapText="1"/>
    </xf>
    <xf numFmtId="0" fontId="9" fillId="8" borderId="8" xfId="2" applyFill="1" applyBorder="1" applyAlignment="1" applyProtection="1">
      <alignment horizontal="center" wrapText="1"/>
    </xf>
    <xf numFmtId="0" fontId="0" fillId="0" borderId="2" xfId="0" applyBorder="1"/>
    <xf numFmtId="0" fontId="0" fillId="0" borderId="14" xfId="0" applyBorder="1" applyAlignment="1">
      <alignment wrapText="1"/>
    </xf>
    <xf numFmtId="0" fontId="0" fillId="0" borderId="20" xfId="0" applyBorder="1" applyAlignment="1">
      <alignment wrapText="1"/>
    </xf>
    <xf numFmtId="0" fontId="5" fillId="0" borderId="14" xfId="0" applyFont="1" applyBorder="1"/>
    <xf numFmtId="0" fontId="0" fillId="15" borderId="0" xfId="0" applyFill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4" xfId="0" applyBorder="1" applyAlignment="1">
      <alignment horizontal="center"/>
    </xf>
    <xf numFmtId="49" fontId="2" fillId="13" borderId="2" xfId="0" applyNumberFormat="1" applyFont="1" applyFill="1" applyBorder="1"/>
    <xf numFmtId="49" fontId="2" fillId="13" borderId="14" xfId="0" applyNumberFormat="1" applyFont="1" applyFill="1" applyBorder="1"/>
    <xf numFmtId="49" fontId="2" fillId="13" borderId="20" xfId="0" applyNumberFormat="1" applyFont="1" applyFill="1" applyBorder="1"/>
    <xf numFmtId="9" fontId="10" fillId="0" borderId="17" xfId="1" applyBorder="1" applyAlignment="1" applyProtection="1">
      <alignment horizontal="center" wrapText="1"/>
    </xf>
    <xf numFmtId="49" fontId="2" fillId="13" borderId="9" xfId="0" applyNumberFormat="1" applyFont="1" applyFill="1" applyBorder="1"/>
    <xf numFmtId="49" fontId="2" fillId="13" borderId="4" xfId="0" applyNumberFormat="1" applyFont="1" applyFill="1" applyBorder="1"/>
    <xf numFmtId="49" fontId="2" fillId="13" borderId="25" xfId="0" applyNumberFormat="1" applyFont="1" applyFill="1" applyBorder="1"/>
    <xf numFmtId="0" fontId="0" fillId="0" borderId="1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2" xfId="0" applyBorder="1"/>
    <xf numFmtId="0" fontId="11" fillId="0" borderId="8" xfId="0" applyFont="1" applyBorder="1" applyAlignment="1">
      <alignment horizontal="center" textRotation="90" wrapText="1"/>
    </xf>
    <xf numFmtId="0" fontId="0" fillId="0" borderId="20" xfId="0" applyBorder="1"/>
    <xf numFmtId="0" fontId="0" fillId="15" borderId="4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0" borderId="9" xfId="0" applyBorder="1"/>
    <xf numFmtId="0" fontId="0" fillId="15" borderId="3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49" fontId="2" fillId="17" borderId="14" xfId="0" applyNumberFormat="1" applyFont="1" applyFill="1" applyBorder="1"/>
    <xf numFmtId="0" fontId="11" fillId="18" borderId="14" xfId="0" applyFont="1" applyFill="1" applyBorder="1" applyAlignment="1">
      <alignment horizontal="left"/>
    </xf>
    <xf numFmtId="0" fontId="11" fillId="18" borderId="20" xfId="0" applyFont="1" applyFill="1" applyBorder="1" applyAlignment="1">
      <alignment horizontal="left"/>
    </xf>
    <xf numFmtId="0" fontId="12" fillId="19" borderId="0" xfId="0" applyFont="1" applyFill="1"/>
    <xf numFmtId="0" fontId="12" fillId="20" borderId="0" xfId="0" applyFont="1" applyFill="1"/>
    <xf numFmtId="0" fontId="12" fillId="21" borderId="0" xfId="0" applyFont="1" applyFill="1"/>
    <xf numFmtId="0" fontId="13" fillId="0" borderId="0" xfId="0" applyFont="1" applyAlignment="1">
      <alignment horizontal="center"/>
    </xf>
    <xf numFmtId="0" fontId="14" fillId="0" borderId="0" xfId="0" applyFont="1"/>
    <xf numFmtId="0" fontId="0" fillId="0" borderId="0" xfId="0" quotePrefix="1"/>
    <xf numFmtId="0" fontId="0" fillId="0" borderId="0" xfId="0" quotePrefix="1" applyAlignment="1">
      <alignment wrapText="1"/>
    </xf>
    <xf numFmtId="0" fontId="11" fillId="0" borderId="2" xfId="0" applyFont="1" applyBorder="1" applyAlignment="1">
      <alignment textRotation="90"/>
    </xf>
    <xf numFmtId="0" fontId="0" fillId="0" borderId="20" xfId="0" applyBorder="1" applyAlignment="1">
      <alignment textRotation="90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49" fontId="0" fillId="0" borderId="19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 wrapText="1"/>
    </xf>
    <xf numFmtId="0" fontId="11" fillId="0" borderId="0" xfId="0" applyFont="1" applyAlignment="1">
      <alignment horizontal="center" vertical="center" textRotation="180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center" textRotation="90" wrapText="1"/>
    </xf>
    <xf numFmtId="0" fontId="11" fillId="0" borderId="14" xfId="0" applyFont="1" applyBorder="1" applyAlignment="1">
      <alignment horizontal="center" textRotation="90" wrapText="1"/>
    </xf>
    <xf numFmtId="0" fontId="11" fillId="0" borderId="20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vertical="center" textRotation="90"/>
    </xf>
    <xf numFmtId="0" fontId="11" fillId="0" borderId="14" xfId="0" applyFont="1" applyBorder="1" applyAlignment="1">
      <alignment horizontal="center" vertical="center" textRotation="90"/>
    </xf>
    <xf numFmtId="0" fontId="11" fillId="0" borderId="20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textRotation="90" wrapText="1"/>
    </xf>
    <xf numFmtId="0" fontId="11" fillId="0" borderId="3" xfId="0" applyFont="1" applyBorder="1" applyAlignment="1">
      <alignment horizontal="center" textRotation="90" wrapText="1"/>
    </xf>
    <xf numFmtId="0" fontId="11" fillId="0" borderId="5" xfId="0" applyFont="1" applyBorder="1" applyAlignment="1">
      <alignment horizontal="center" textRotation="90" wrapText="1"/>
    </xf>
    <xf numFmtId="0" fontId="2" fillId="6" borderId="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textRotation="90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3">
    <cellStyle name="Excel Built-in Output" xfId="2" xr:uid="{00000000-0005-0000-0000-000006000000}"/>
    <cellStyle name="Prozent" xfId="1" builtinId="5"/>
    <cellStyle name="Standard" xfId="0" builtinId="0"/>
  </cellStyles>
  <dxfs count="1"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C7C7C"/>
      <rgbColor rgb="FF9999FF"/>
      <rgbColor rgb="FF993366"/>
      <rgbColor rgb="FFFFF2CC"/>
      <rgbColor rgb="FFCCFFFF"/>
      <rgbColor rgb="FF660066"/>
      <rgbColor rgb="FFFF8080"/>
      <rgbColor rgb="FF2E75B6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D966"/>
      <rgbColor rgb="FF9DC3E6"/>
      <rgbColor rgb="FFF4B183"/>
      <rgbColor rgb="FFC9C9C9"/>
      <rgbColor rgb="FFF8CBAD"/>
      <rgbColor rgb="FF4472C4"/>
      <rgbColor rgb="FF33CCCC"/>
      <rgbColor rgb="FF99CC00"/>
      <rgbColor rgb="FFFFCC00"/>
      <rgbColor rgb="FFFF9900"/>
      <rgbColor rgb="FFC55A11"/>
      <rgbColor rgb="FF595959"/>
      <rgbColor rgb="FFA9D18E"/>
      <rgbColor rgb="FF003366"/>
      <rgbColor rgb="FF339966"/>
      <rgbColor rgb="FF111111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Calibri"/>
              </a:rPr>
              <a:t>EC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'X - ABC characterization'!$A$3:$A$16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750</c:v>
                </c:pt>
                <c:pt idx="11">
                  <c:v>1000</c:v>
                </c:pt>
              </c:numCache>
            </c:numRef>
          </c:xVal>
          <c:yVal>
            <c:numRef>
              <c:f>'X - ABC characterization'!$D$3:$D$16</c:f>
              <c:numCache>
                <c:formatCode>General</c:formatCode>
                <c:ptCount val="14"/>
                <c:pt idx="0">
                  <c:v>15.7</c:v>
                </c:pt>
                <c:pt idx="1">
                  <c:v>22.8</c:v>
                </c:pt>
                <c:pt idx="2">
                  <c:v>40.1</c:v>
                </c:pt>
                <c:pt idx="3">
                  <c:v>72.400000000000006</c:v>
                </c:pt>
                <c:pt idx="4">
                  <c:v>94.8</c:v>
                </c:pt>
                <c:pt idx="5">
                  <c:v>164</c:v>
                </c:pt>
                <c:pt idx="6">
                  <c:v>311</c:v>
                </c:pt>
                <c:pt idx="7">
                  <c:v>628</c:v>
                </c:pt>
                <c:pt idx="8">
                  <c:v>1471</c:v>
                </c:pt>
                <c:pt idx="9">
                  <c:v>2630</c:v>
                </c:pt>
                <c:pt idx="10">
                  <c:v>4170</c:v>
                </c:pt>
                <c:pt idx="11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B3-48F1-9E77-DC52D633F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6661"/>
        <c:axId val="61890154"/>
      </c:scatterChart>
      <c:valAx>
        <c:axId val="2131666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</a:rPr>
                  <a:t>c(NH4+) in mg/L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61890154"/>
        <c:crosses val="autoZero"/>
        <c:crossBetween val="midCat"/>
      </c:valAx>
      <c:valAx>
        <c:axId val="618901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</a:rPr>
                  <a:t>EC in uS/cm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213166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Calibri"/>
              </a:rPr>
              <a:t>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'X - ABC characterization'!$A$3:$A$16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50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750</c:v>
                </c:pt>
                <c:pt idx="11">
                  <c:v>1000</c:v>
                </c:pt>
              </c:numCache>
            </c:numRef>
          </c:xVal>
          <c:yVal>
            <c:numRef>
              <c:f>'X - ABC characterization'!$E$3:$E$16</c:f>
              <c:numCache>
                <c:formatCode>General</c:formatCode>
                <c:ptCount val="14"/>
                <c:pt idx="0">
                  <c:v>0</c:v>
                </c:pt>
                <c:pt idx="1">
                  <c:v>7.3</c:v>
                </c:pt>
                <c:pt idx="2">
                  <c:v>7.76</c:v>
                </c:pt>
                <c:pt idx="3">
                  <c:v>7.85</c:v>
                </c:pt>
                <c:pt idx="4">
                  <c:v>7.98</c:v>
                </c:pt>
                <c:pt idx="5">
                  <c:v>7.91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1-4E83-A33B-91B26DFB4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20357"/>
        <c:axId val="51538961"/>
      </c:scatterChart>
      <c:valAx>
        <c:axId val="3112035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</a:rPr>
                  <a:t>c(NH4+) in mg/L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51538961"/>
        <c:crosses val="autoZero"/>
        <c:crossBetween val="midCat"/>
      </c:valAx>
      <c:valAx>
        <c:axId val="515389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</a:rPr>
                  <a:t>pH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3112035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76320</xdr:colOff>
      <xdr:row>22</xdr:row>
      <xdr:rowOff>12240</xdr:rowOff>
    </xdr:from>
    <xdr:to>
      <xdr:col>4</xdr:col>
      <xdr:colOff>4057560</xdr:colOff>
      <xdr:row>34</xdr:row>
      <xdr:rowOff>100080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97640" y="4389120"/>
          <a:ext cx="4451040" cy="225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85680</xdr:colOff>
      <xdr:row>7</xdr:row>
      <xdr:rowOff>170640</xdr:rowOff>
    </xdr:from>
    <xdr:to>
      <xdr:col>4</xdr:col>
      <xdr:colOff>4028760</xdr:colOff>
      <xdr:row>18</xdr:row>
      <xdr:rowOff>156600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07000" y="1833120"/>
          <a:ext cx="4412880" cy="1976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556200</xdr:colOff>
      <xdr:row>0</xdr:row>
      <xdr:rowOff>167760</xdr:rowOff>
    </xdr:from>
    <xdr:to>
      <xdr:col>10</xdr:col>
      <xdr:colOff>289080</xdr:colOff>
      <xdr:row>13</xdr:row>
      <xdr:rowOff>169200</xdr:rowOff>
    </xdr:to>
    <xdr:graphicFrame macro="">
      <xdr:nvGraphicFramePr>
        <xdr:cNvPr id="2" name="Diagramm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419040</xdr:colOff>
      <xdr:row>0</xdr:row>
      <xdr:rowOff>171360</xdr:rowOff>
    </xdr:from>
    <xdr:to>
      <xdr:col>15</xdr:col>
      <xdr:colOff>273960</xdr:colOff>
      <xdr:row>14</xdr:row>
      <xdr:rowOff>14760</xdr:rowOff>
    </xdr:to>
    <xdr:graphicFrame macro="">
      <xdr:nvGraphicFramePr>
        <xdr:cNvPr id="3" name="Diagramm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1" displayName="Tabelle1" ref="B3:U70" totalsRowShown="0">
  <autoFilter ref="B3:U70" xr:uid="{00000000-0009-0000-0100-000001000000}"/>
  <tableColumns count="20">
    <tableColumn id="1" xr3:uid="{00000000-0010-0000-0100-000001000000}" name="Test #"/>
    <tableColumn id="2" xr3:uid="{00000000-0010-0000-0100-000002000000}" name="Mol._x000a_(g/L)"/>
    <tableColumn id="3" xr3:uid="{00000000-0010-0000-0100-000003000000}" name="H2O_x000a_"/>
    <tableColumn id="4" xr3:uid="{00000000-0010-0000-0100-000004000000}" name="pH_x000a_"/>
    <tableColumn id="5" xr3:uid="{00000000-0010-0000-0100-000005000000}" name="Time_x000a_(s)"/>
    <tableColumn id="6" xr3:uid="{00000000-0010-0000-0100-000006000000}" name="Flow_x000a_ (L/min)"/>
    <tableColumn id="7" xr3:uid="{00000000-0010-0000-0100-000007000000}" name="Volt. Lim._x000a_(V)"/>
    <tableColumn id="8" xr3:uid="{00000000-0010-0000-0100-000008000000}" name="Curr. Lim._x000a_(A)"/>
    <tableColumn id="9" xr3:uid="{00000000-0010-0000-0100-000009000000}" name="Check"/>
    <tableColumn id="10" xr3:uid="{00000000-0010-0000-0100-00000A000000}" name="EC In _x000a_(mS/cm)"/>
    <tableColumn id="11" xr3:uid="{00000000-0010-0000-0100-00000B000000}" name="EC In Dev. (%)"/>
    <tableColumn id="12" xr3:uid="{00000000-0010-0000-0100-00000C000000}" name="EC Pure_x000a_(mS/cm)"/>
    <tableColumn id="13" xr3:uid="{00000000-0010-0000-0100-00000D000000}" name="Remov. _x000a_(%)"/>
    <tableColumn id="14" xr3:uid="{00000000-0010-0000-0100-00000E000000}" name="SEC _x000a_(kWh/m³)"/>
    <tableColumn id="20" xr3:uid="{B2A84FA3-C83C-4E1D-91CF-EBC66DA2FEF3}" name="Spalte1" dataDxfId="0">
      <calculatedColumnFormula>$Z$1*(Tabelle1[[#This Row],[Remov. 
(%)]]/100*Tabelle1[[#This Row],[Ry 
(%)]]/100)/Tabelle1[[#This Row],[SEC 
(kWh/m³)]]</calculatedColumnFormula>
    </tableColumn>
    <tableColumn id="15" xr3:uid="{00000000-0010-0000-0100-00000F000000}" name="Ry _x000a_(%)"/>
    <tableColumn id="16" xr3:uid="{00000000-0010-0000-0100-000010000000}" name="Min EC Pure (mS/cm)"/>
    <tableColumn id="17" xr3:uid="{00000000-0010-0000-0100-000011000000}" name="Max. Remov. (%)"/>
    <tableColumn id="18" xr3:uid="{00000000-0010-0000-0100-000012000000}" name="Avg. EC In (mS/cm)"/>
    <tableColumn id="19" xr3:uid="{00000000-0010-0000-0100-000013000000}" name="Avg. EC Pure (mS/cm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2:E16" totalsRowShown="0">
  <autoFilter ref="A2:E16" xr:uid="{00000000-0009-0000-0100-000002000000}"/>
  <tableColumns count="5">
    <tableColumn id="1" xr3:uid="{00000000-0010-0000-0000-000001000000}" name="c NH4+_x000a_in mg/L"/>
    <tableColumn id="2" xr3:uid="{00000000-0010-0000-0000-000002000000}" name="equ. ABC_x000a_in mg/L"/>
    <tableColumn id="3" xr3:uid="{00000000-0010-0000-0000-000003000000}" name="T_x000a_in °C"/>
    <tableColumn id="4" xr3:uid="{00000000-0010-0000-0000-000004000000}" name="EC _x000a_in uS/cm"/>
    <tableColumn id="5" xr3:uid="{00000000-0010-0000-0000-000005000000}" name="pH_x000a_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DF0B-2A12-4355-9842-59FD49DF13B3}">
  <dimension ref="A1:I40"/>
  <sheetViews>
    <sheetView zoomScale="115" zoomScaleNormal="115" workbookViewId="0">
      <selection activeCell="I21" sqref="I21:I23"/>
    </sheetView>
  </sheetViews>
  <sheetFormatPr baseColWidth="10" defaultRowHeight="14.4" x14ac:dyDescent="0.3"/>
  <cols>
    <col min="1" max="1" width="16.33203125" customWidth="1"/>
    <col min="3" max="3" width="16.109375" customWidth="1"/>
    <col min="4" max="4" width="18" customWidth="1"/>
    <col min="7" max="7" width="15.44140625" customWidth="1"/>
    <col min="8" max="8" width="24.44140625" customWidth="1"/>
    <col min="9" max="9" width="23.109375" customWidth="1"/>
    <col min="10" max="10" width="12.44140625" customWidth="1"/>
    <col min="11" max="11" width="16.44140625" customWidth="1"/>
    <col min="12" max="13" width="15.33203125" customWidth="1"/>
    <col min="14" max="14" width="6.109375" customWidth="1"/>
    <col min="15" max="15" width="66" customWidth="1"/>
  </cols>
  <sheetData>
    <row r="1" spans="1:9" x14ac:dyDescent="0.3">
      <c r="C1" s="126" t="s">
        <v>208</v>
      </c>
      <c r="D1" s="126"/>
      <c r="E1" s="126"/>
    </row>
    <row r="2" spans="1:9" x14ac:dyDescent="0.3">
      <c r="B2" t="s">
        <v>212</v>
      </c>
      <c r="C2" t="s">
        <v>211</v>
      </c>
      <c r="D2" t="s">
        <v>210</v>
      </c>
      <c r="E2" t="s">
        <v>209</v>
      </c>
    </row>
    <row r="3" spans="1:9" ht="15" thickBot="1" x14ac:dyDescent="0.35"/>
    <row r="4" spans="1:9" ht="18" x14ac:dyDescent="0.35">
      <c r="A4" s="125" t="s">
        <v>207</v>
      </c>
      <c r="C4" s="116" t="s">
        <v>201</v>
      </c>
      <c r="D4" s="117"/>
      <c r="E4" s="118"/>
      <c r="F4" s="97" t="s">
        <v>205</v>
      </c>
      <c r="G4" s="94" t="s">
        <v>202</v>
      </c>
      <c r="H4" t="s">
        <v>233</v>
      </c>
    </row>
    <row r="5" spans="1:9" ht="18" x14ac:dyDescent="0.35">
      <c r="A5" s="120"/>
      <c r="C5" s="119"/>
      <c r="D5" s="120"/>
      <c r="E5" s="121"/>
      <c r="F5" s="98"/>
    </row>
    <row r="6" spans="1:9" ht="18" x14ac:dyDescent="0.35">
      <c r="A6" s="120"/>
      <c r="B6" s="97" t="s">
        <v>205</v>
      </c>
      <c r="C6" s="119"/>
      <c r="D6" s="120"/>
      <c r="E6" s="121"/>
      <c r="F6" s="97" t="s">
        <v>205</v>
      </c>
      <c r="G6" s="95" t="s">
        <v>203</v>
      </c>
      <c r="H6" t="s">
        <v>232</v>
      </c>
    </row>
    <row r="7" spans="1:9" ht="18" x14ac:dyDescent="0.35">
      <c r="A7" s="120"/>
      <c r="C7" s="119"/>
      <c r="D7" s="120"/>
      <c r="E7" s="121"/>
      <c r="F7" s="98"/>
    </row>
    <row r="8" spans="1:9" ht="18.600000000000001" thickBot="1" x14ac:dyDescent="0.4">
      <c r="A8" s="120"/>
      <c r="C8" s="122"/>
      <c r="D8" s="123"/>
      <c r="E8" s="124"/>
      <c r="F8" s="97" t="s">
        <v>205</v>
      </c>
      <c r="G8" s="96" t="s">
        <v>204</v>
      </c>
    </row>
    <row r="12" spans="1:9" x14ac:dyDescent="0.3">
      <c r="I12" t="s">
        <v>241</v>
      </c>
    </row>
    <row r="13" spans="1:9" x14ac:dyDescent="0.3">
      <c r="I13" s="127" t="s">
        <v>243</v>
      </c>
    </row>
    <row r="14" spans="1:9" x14ac:dyDescent="0.3">
      <c r="I14" s="115"/>
    </row>
    <row r="15" spans="1:9" x14ac:dyDescent="0.3">
      <c r="I15" s="115"/>
    </row>
    <row r="17" spans="1:9" x14ac:dyDescent="0.3">
      <c r="I17" s="115" t="s">
        <v>244</v>
      </c>
    </row>
    <row r="18" spans="1:9" x14ac:dyDescent="0.3">
      <c r="I18" s="115"/>
    </row>
    <row r="19" spans="1:9" x14ac:dyDescent="0.3">
      <c r="I19" s="115"/>
    </row>
    <row r="21" spans="1:9" x14ac:dyDescent="0.3">
      <c r="I21" s="115" t="s">
        <v>242</v>
      </c>
    </row>
    <row r="22" spans="1:9" x14ac:dyDescent="0.3">
      <c r="I22" s="115"/>
    </row>
    <row r="23" spans="1:9" x14ac:dyDescent="0.3">
      <c r="A23" t="s">
        <v>222</v>
      </c>
      <c r="I23" s="115"/>
    </row>
    <row r="24" spans="1:9" x14ac:dyDescent="0.3">
      <c r="A24" t="s">
        <v>234</v>
      </c>
    </row>
    <row r="25" spans="1:9" x14ac:dyDescent="0.3">
      <c r="A25" t="s">
        <v>251</v>
      </c>
    </row>
    <row r="26" spans="1:9" x14ac:dyDescent="0.3">
      <c r="A26" t="s">
        <v>254</v>
      </c>
    </row>
    <row r="27" spans="1:9" x14ac:dyDescent="0.3">
      <c r="A27" t="s">
        <v>235</v>
      </c>
    </row>
    <row r="28" spans="1:9" x14ac:dyDescent="0.3">
      <c r="A28" t="s">
        <v>236</v>
      </c>
    </row>
    <row r="29" spans="1:9" x14ac:dyDescent="0.3">
      <c r="A29" t="s">
        <v>255</v>
      </c>
    </row>
    <row r="30" spans="1:9" x14ac:dyDescent="0.3">
      <c r="A30" t="s">
        <v>258</v>
      </c>
    </row>
    <row r="32" spans="1:9" x14ac:dyDescent="0.3">
      <c r="A32" t="s">
        <v>259</v>
      </c>
      <c r="C32" t="s">
        <v>271</v>
      </c>
    </row>
    <row r="33" spans="1:1" x14ac:dyDescent="0.3">
      <c r="A33" t="s">
        <v>260</v>
      </c>
    </row>
    <row r="37" spans="1:1" x14ac:dyDescent="0.3">
      <c r="A37" t="s">
        <v>262</v>
      </c>
    </row>
    <row r="38" spans="1:1" x14ac:dyDescent="0.3">
      <c r="A38" t="s">
        <v>264</v>
      </c>
    </row>
    <row r="39" spans="1:1" x14ac:dyDescent="0.3">
      <c r="A39" t="s">
        <v>263</v>
      </c>
    </row>
    <row r="40" spans="1:1" x14ac:dyDescent="0.3">
      <c r="A40" t="s">
        <v>265</v>
      </c>
    </row>
  </sheetData>
  <mergeCells count="6">
    <mergeCell ref="I21:I23"/>
    <mergeCell ref="C4:E8"/>
    <mergeCell ref="A4:A8"/>
    <mergeCell ref="C1:E1"/>
    <mergeCell ref="I13:I15"/>
    <mergeCell ref="I17:I1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A868-4F92-475C-AFC9-0F0F1FEF5005}">
  <dimension ref="A1:G16"/>
  <sheetViews>
    <sheetView workbookViewId="0">
      <selection activeCell="E11" sqref="E11"/>
    </sheetView>
  </sheetViews>
  <sheetFormatPr baseColWidth="10" defaultRowHeight="14.4" x14ac:dyDescent="0.3"/>
  <cols>
    <col min="1" max="1" width="33.44140625" customWidth="1"/>
    <col min="2" max="2" width="27.6640625" customWidth="1"/>
    <col min="4" max="4" width="19.33203125" customWidth="1"/>
    <col min="7" max="7" width="141.44140625" customWidth="1"/>
  </cols>
  <sheetData>
    <row r="1" spans="1:7" ht="15" thickBot="1" x14ac:dyDescent="0.35">
      <c r="A1" t="s">
        <v>206</v>
      </c>
      <c r="B1" t="s">
        <v>215</v>
      </c>
      <c r="C1" s="18" t="s">
        <v>227</v>
      </c>
      <c r="D1" s="18" t="s">
        <v>220</v>
      </c>
      <c r="E1" s="18" t="s">
        <v>248</v>
      </c>
      <c r="G1" t="s">
        <v>221</v>
      </c>
    </row>
    <row r="2" spans="1:7" x14ac:dyDescent="0.3">
      <c r="A2" s="129" t="s">
        <v>214</v>
      </c>
      <c r="B2" s="103" t="s">
        <v>217</v>
      </c>
      <c r="C2" s="104" t="s">
        <v>230</v>
      </c>
      <c r="D2" s="104" t="s">
        <v>229</v>
      </c>
      <c r="E2" s="105" t="s">
        <v>86</v>
      </c>
      <c r="F2" s="128" t="s">
        <v>231</v>
      </c>
      <c r="G2" s="99" t="s">
        <v>237</v>
      </c>
    </row>
    <row r="3" spans="1:7" ht="28.8" x14ac:dyDescent="0.3">
      <c r="A3" s="130"/>
      <c r="B3" s="106" t="s">
        <v>218</v>
      </c>
      <c r="C3" s="107" t="s">
        <v>223</v>
      </c>
      <c r="D3" s="107" t="s">
        <v>272</v>
      </c>
      <c r="E3" s="108">
        <v>250</v>
      </c>
      <c r="F3" s="128"/>
      <c r="G3" s="100" t="s">
        <v>240</v>
      </c>
    </row>
    <row r="4" spans="1:7" x14ac:dyDescent="0.3">
      <c r="A4" s="130"/>
      <c r="B4" s="106" t="s">
        <v>219</v>
      </c>
      <c r="C4" s="107" t="s">
        <v>239</v>
      </c>
      <c r="D4" s="107">
        <v>60</v>
      </c>
      <c r="E4" s="108">
        <v>60</v>
      </c>
      <c r="F4" s="128"/>
      <c r="G4" s="99" t="s">
        <v>238</v>
      </c>
    </row>
    <row r="5" spans="1:7" ht="15" thickBot="1" x14ac:dyDescent="0.35">
      <c r="A5" s="131"/>
      <c r="B5" s="109" t="s">
        <v>266</v>
      </c>
      <c r="C5" s="110" t="s">
        <v>273</v>
      </c>
      <c r="D5" s="110" t="s">
        <v>274</v>
      </c>
      <c r="E5" s="111" t="s">
        <v>267</v>
      </c>
      <c r="F5" s="128"/>
      <c r="G5" s="99" t="s">
        <v>249</v>
      </c>
    </row>
    <row r="6" spans="1:7" x14ac:dyDescent="0.3">
      <c r="A6" s="129" t="s">
        <v>213</v>
      </c>
      <c r="B6" s="103" t="s">
        <v>217</v>
      </c>
      <c r="C6" s="104" t="s">
        <v>230</v>
      </c>
      <c r="D6" s="104" t="s">
        <v>245</v>
      </c>
      <c r="E6" s="112" t="s">
        <v>105</v>
      </c>
      <c r="F6" s="128"/>
      <c r="G6" s="99" t="s">
        <v>246</v>
      </c>
    </row>
    <row r="7" spans="1:7" x14ac:dyDescent="0.3">
      <c r="A7" s="130"/>
      <c r="B7" s="106" t="s">
        <v>218</v>
      </c>
      <c r="C7" s="107" t="s">
        <v>224</v>
      </c>
      <c r="D7" s="107" t="s">
        <v>226</v>
      </c>
      <c r="E7" s="108">
        <v>30</v>
      </c>
      <c r="F7" s="128"/>
      <c r="G7" s="99" t="s">
        <v>247</v>
      </c>
    </row>
    <row r="8" spans="1:7" x14ac:dyDescent="0.3">
      <c r="A8" s="130"/>
      <c r="B8" s="106" t="s">
        <v>219</v>
      </c>
      <c r="C8" s="107" t="s">
        <v>250</v>
      </c>
      <c r="D8" s="107" t="s">
        <v>226</v>
      </c>
      <c r="E8" s="108">
        <v>25</v>
      </c>
      <c r="F8" s="128"/>
      <c r="G8" s="99" t="s">
        <v>256</v>
      </c>
    </row>
    <row r="9" spans="1:7" ht="29.4" thickBot="1" x14ac:dyDescent="0.35">
      <c r="A9" s="131"/>
      <c r="B9" s="109" t="s">
        <v>266</v>
      </c>
      <c r="C9" s="110" t="s">
        <v>273</v>
      </c>
      <c r="D9" s="113" t="s">
        <v>268</v>
      </c>
      <c r="E9" s="114" t="s">
        <v>90</v>
      </c>
      <c r="F9" s="128"/>
      <c r="G9" s="100" t="s">
        <v>253</v>
      </c>
    </row>
    <row r="10" spans="1:7" ht="28.8" x14ac:dyDescent="0.3">
      <c r="A10" s="129" t="s">
        <v>216</v>
      </c>
      <c r="B10" s="103" t="s">
        <v>217</v>
      </c>
      <c r="C10" s="104" t="s">
        <v>230</v>
      </c>
      <c r="D10" s="35" t="s">
        <v>261</v>
      </c>
      <c r="E10" s="36" t="s">
        <v>100</v>
      </c>
      <c r="F10" s="128"/>
      <c r="G10" s="100" t="s">
        <v>257</v>
      </c>
    </row>
    <row r="11" spans="1:7" x14ac:dyDescent="0.3">
      <c r="A11" s="130"/>
      <c r="B11" s="106" t="s">
        <v>218</v>
      </c>
      <c r="C11" s="107" t="s">
        <v>225</v>
      </c>
      <c r="D11" s="107" t="s">
        <v>228</v>
      </c>
      <c r="E11" s="108">
        <v>270</v>
      </c>
    </row>
    <row r="12" spans="1:7" x14ac:dyDescent="0.3">
      <c r="A12" s="130"/>
      <c r="B12" s="106" t="s">
        <v>219</v>
      </c>
      <c r="C12" s="107" t="s">
        <v>239</v>
      </c>
      <c r="D12" s="107" t="s">
        <v>252</v>
      </c>
      <c r="E12" s="108">
        <v>55</v>
      </c>
    </row>
    <row r="13" spans="1:7" ht="15" thickBot="1" x14ac:dyDescent="0.35">
      <c r="A13" s="131"/>
      <c r="B13" s="109" t="s">
        <v>266</v>
      </c>
      <c r="C13" s="110" t="s">
        <v>273</v>
      </c>
      <c r="D13" s="113" t="s">
        <v>269</v>
      </c>
      <c r="E13" s="10"/>
    </row>
    <row r="16" spans="1:7" x14ac:dyDescent="0.3">
      <c r="B16" s="106" t="s">
        <v>275</v>
      </c>
    </row>
  </sheetData>
  <mergeCells count="4">
    <mergeCell ref="F2:F10"/>
    <mergeCell ref="A2:A5"/>
    <mergeCell ref="A6:A9"/>
    <mergeCell ref="A10:A1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zoomScale="125" zoomScaleNormal="125" workbookViewId="0">
      <selection activeCell="G15" sqref="G15"/>
    </sheetView>
  </sheetViews>
  <sheetFormatPr baseColWidth="10" defaultColWidth="9.109375" defaultRowHeight="14.4" x14ac:dyDescent="0.3"/>
  <cols>
    <col min="1" max="1" width="7.6640625" customWidth="1"/>
    <col min="2" max="2" width="65" customWidth="1"/>
    <col min="3" max="3" width="5.6640625" customWidth="1"/>
    <col min="4" max="4" width="6.6640625" customWidth="1"/>
    <col min="5" max="5" width="62.6640625" customWidth="1"/>
  </cols>
  <sheetData>
    <row r="1" spans="1:15" ht="15.6" x14ac:dyDescent="0.3">
      <c r="A1" s="132" t="s">
        <v>0</v>
      </c>
      <c r="B1" s="132"/>
      <c r="C1" s="1"/>
      <c r="D1" s="132" t="s">
        <v>1</v>
      </c>
      <c r="E1" s="132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2">
        <v>1</v>
      </c>
      <c r="B2" s="3" t="s">
        <v>2</v>
      </c>
      <c r="D2" s="2">
        <v>1</v>
      </c>
      <c r="E2" s="3" t="s">
        <v>3</v>
      </c>
    </row>
    <row r="3" spans="1:15" ht="43.2" x14ac:dyDescent="0.3">
      <c r="A3" s="4"/>
      <c r="B3" s="5" t="s">
        <v>4</v>
      </c>
      <c r="D3" s="6"/>
      <c r="E3" s="5" t="s">
        <v>5</v>
      </c>
    </row>
    <row r="4" spans="1:15" x14ac:dyDescent="0.3">
      <c r="A4" s="4"/>
      <c r="B4" s="7" t="s">
        <v>6</v>
      </c>
      <c r="D4" s="6"/>
      <c r="E4" s="7"/>
    </row>
    <row r="5" spans="1:15" x14ac:dyDescent="0.3">
      <c r="A5" s="4"/>
      <c r="B5" s="7" t="s">
        <v>7</v>
      </c>
      <c r="D5" s="2">
        <v>2</v>
      </c>
      <c r="E5" s="3" t="s">
        <v>8</v>
      </c>
    </row>
    <row r="6" spans="1:15" x14ac:dyDescent="0.3">
      <c r="A6" s="4"/>
      <c r="B6" s="7"/>
      <c r="D6" s="6"/>
      <c r="E6" s="7" t="s">
        <v>9</v>
      </c>
    </row>
    <row r="7" spans="1:15" ht="28.8" x14ac:dyDescent="0.3">
      <c r="A7" s="2">
        <v>2</v>
      </c>
      <c r="B7" s="3" t="s">
        <v>10</v>
      </c>
      <c r="D7" s="4"/>
      <c r="E7" s="5" t="s">
        <v>11</v>
      </c>
    </row>
    <row r="8" spans="1:15" x14ac:dyDescent="0.3">
      <c r="A8" s="4"/>
      <c r="B8" s="7" t="s">
        <v>12</v>
      </c>
      <c r="D8" s="6"/>
      <c r="E8" s="7"/>
    </row>
    <row r="9" spans="1:15" x14ac:dyDescent="0.3">
      <c r="A9" s="4"/>
      <c r="B9" s="7" t="s">
        <v>13</v>
      </c>
      <c r="D9" s="6"/>
      <c r="E9" s="7"/>
    </row>
    <row r="10" spans="1:15" x14ac:dyDescent="0.3">
      <c r="A10" s="4"/>
      <c r="B10" s="7" t="s">
        <v>14</v>
      </c>
      <c r="D10" s="6"/>
      <c r="E10" s="7"/>
    </row>
    <row r="11" spans="1:15" x14ac:dyDescent="0.3">
      <c r="A11" s="4"/>
      <c r="B11" s="7"/>
      <c r="D11" s="6"/>
      <c r="E11" s="7"/>
    </row>
    <row r="12" spans="1:15" x14ac:dyDescent="0.3">
      <c r="A12" s="2">
        <v>3</v>
      </c>
      <c r="B12" s="3" t="s">
        <v>15</v>
      </c>
      <c r="D12" s="6"/>
      <c r="E12" s="7"/>
    </row>
    <row r="13" spans="1:15" x14ac:dyDescent="0.3">
      <c r="A13" s="4"/>
      <c r="B13" s="7" t="s">
        <v>16</v>
      </c>
      <c r="D13" s="6"/>
      <c r="E13" s="7"/>
    </row>
    <row r="14" spans="1:15" x14ac:dyDescent="0.3">
      <c r="A14" s="4"/>
      <c r="B14" s="7" t="s">
        <v>17</v>
      </c>
      <c r="D14" s="6"/>
      <c r="E14" s="7"/>
    </row>
    <row r="15" spans="1:15" x14ac:dyDescent="0.3">
      <c r="A15" s="4"/>
      <c r="B15" s="7" t="s">
        <v>18</v>
      </c>
      <c r="D15" s="6"/>
      <c r="E15" s="7"/>
    </row>
    <row r="16" spans="1:15" x14ac:dyDescent="0.3">
      <c r="A16" s="4"/>
      <c r="B16" s="7" t="s">
        <v>19</v>
      </c>
      <c r="D16" s="6"/>
      <c r="E16" s="7"/>
    </row>
    <row r="17" spans="1:5" x14ac:dyDescent="0.3">
      <c r="A17" s="4"/>
      <c r="B17" s="8" t="s">
        <v>20</v>
      </c>
      <c r="D17" s="6"/>
      <c r="E17" s="7"/>
    </row>
    <row r="18" spans="1:5" x14ac:dyDescent="0.3">
      <c r="A18" s="4"/>
      <c r="B18" s="7" t="s">
        <v>21</v>
      </c>
      <c r="D18" s="6"/>
      <c r="E18" s="7"/>
    </row>
    <row r="19" spans="1:5" x14ac:dyDescent="0.3">
      <c r="A19" s="4"/>
      <c r="B19" s="7"/>
      <c r="D19" s="6"/>
      <c r="E19" s="7"/>
    </row>
    <row r="20" spans="1:5" x14ac:dyDescent="0.3">
      <c r="A20" s="2">
        <v>4</v>
      </c>
      <c r="B20" s="3" t="s">
        <v>22</v>
      </c>
      <c r="D20" s="2">
        <v>3</v>
      </c>
      <c r="E20" s="3" t="s">
        <v>23</v>
      </c>
    </row>
    <row r="21" spans="1:5" x14ac:dyDescent="0.3">
      <c r="A21" s="4"/>
      <c r="B21" s="7" t="s">
        <v>24</v>
      </c>
      <c r="D21" s="6"/>
      <c r="E21" s="7" t="s">
        <v>156</v>
      </c>
    </row>
    <row r="22" spans="1:5" x14ac:dyDescent="0.3">
      <c r="A22" s="4"/>
      <c r="B22" s="7" t="s">
        <v>25</v>
      </c>
      <c r="D22" s="6"/>
      <c r="E22" s="7"/>
    </row>
    <row r="23" spans="1:5" x14ac:dyDescent="0.3">
      <c r="A23" s="4"/>
      <c r="B23" s="7" t="s">
        <v>26</v>
      </c>
      <c r="D23" s="6"/>
      <c r="E23" s="7"/>
    </row>
    <row r="24" spans="1:5" x14ac:dyDescent="0.3">
      <c r="A24" s="4"/>
      <c r="B24" s="7" t="s">
        <v>27</v>
      </c>
      <c r="D24" s="6"/>
      <c r="E24" s="7"/>
    </row>
    <row r="25" spans="1:5" x14ac:dyDescent="0.3">
      <c r="A25" s="4"/>
      <c r="B25" s="7" t="s">
        <v>28</v>
      </c>
      <c r="D25" s="6"/>
      <c r="E25" s="7"/>
    </row>
    <row r="26" spans="1:5" x14ac:dyDescent="0.3">
      <c r="A26" s="4"/>
      <c r="B26" s="7" t="s">
        <v>29</v>
      </c>
      <c r="D26" s="6"/>
      <c r="E26" s="7"/>
    </row>
    <row r="27" spans="1:5" x14ac:dyDescent="0.3">
      <c r="A27" s="4"/>
      <c r="B27" s="7"/>
      <c r="D27" s="6"/>
      <c r="E27" s="7"/>
    </row>
    <row r="28" spans="1:5" x14ac:dyDescent="0.3">
      <c r="A28" s="2">
        <v>5</v>
      </c>
      <c r="B28" s="3" t="s">
        <v>30</v>
      </c>
      <c r="D28" s="6"/>
      <c r="E28" s="7"/>
    </row>
    <row r="29" spans="1:5" x14ac:dyDescent="0.3">
      <c r="A29" s="4"/>
      <c r="B29" s="7" t="s">
        <v>31</v>
      </c>
      <c r="D29" s="6"/>
      <c r="E29" s="7"/>
    </row>
    <row r="30" spans="1:5" x14ac:dyDescent="0.3">
      <c r="A30" s="4"/>
      <c r="B30" s="7" t="s">
        <v>32</v>
      </c>
      <c r="D30" s="6"/>
      <c r="E30" s="7"/>
    </row>
    <row r="31" spans="1:5" x14ac:dyDescent="0.3">
      <c r="A31" s="4"/>
      <c r="B31" s="7" t="s">
        <v>33</v>
      </c>
      <c r="D31" s="6"/>
      <c r="E31" s="7"/>
    </row>
    <row r="32" spans="1:5" x14ac:dyDescent="0.3">
      <c r="A32" s="4"/>
      <c r="B32" s="7" t="s">
        <v>34</v>
      </c>
      <c r="D32" s="6"/>
      <c r="E32" s="7"/>
    </row>
    <row r="33" spans="1:5" x14ac:dyDescent="0.3">
      <c r="A33" s="4"/>
      <c r="B33" s="7"/>
      <c r="D33" s="6"/>
      <c r="E33" s="7"/>
    </row>
    <row r="34" spans="1:5" x14ac:dyDescent="0.3">
      <c r="A34" s="4"/>
      <c r="B34" s="7"/>
      <c r="D34" s="6"/>
      <c r="E34" s="7"/>
    </row>
    <row r="35" spans="1:5" x14ac:dyDescent="0.3">
      <c r="A35" s="2">
        <v>6</v>
      </c>
      <c r="B35" s="3" t="s">
        <v>35</v>
      </c>
      <c r="D35" s="6"/>
      <c r="E35" s="7"/>
    </row>
    <row r="36" spans="1:5" x14ac:dyDescent="0.3">
      <c r="A36" s="4"/>
      <c r="B36" s="7" t="s">
        <v>36</v>
      </c>
      <c r="D36" s="9"/>
      <c r="E36" s="10"/>
    </row>
    <row r="37" spans="1:5" x14ac:dyDescent="0.3">
      <c r="A37" s="4"/>
      <c r="B37" s="7" t="s">
        <v>37</v>
      </c>
    </row>
    <row r="38" spans="1:5" x14ac:dyDescent="0.3">
      <c r="A38" s="4"/>
      <c r="B38" s="7"/>
    </row>
    <row r="39" spans="1:5" x14ac:dyDescent="0.3">
      <c r="A39" s="4"/>
      <c r="B39" s="7"/>
    </row>
    <row r="40" spans="1:5" x14ac:dyDescent="0.3">
      <c r="A40" s="11" t="s">
        <v>38</v>
      </c>
      <c r="B40" s="3" t="s">
        <v>39</v>
      </c>
    </row>
    <row r="41" spans="1:5" x14ac:dyDescent="0.3">
      <c r="A41" s="4"/>
      <c r="B41" s="12" t="s">
        <v>40</v>
      </c>
    </row>
    <row r="42" spans="1:5" x14ac:dyDescent="0.3">
      <c r="A42" s="4"/>
      <c r="B42" s="12" t="s">
        <v>41</v>
      </c>
    </row>
    <row r="43" spans="1:5" x14ac:dyDescent="0.3">
      <c r="A43" s="13"/>
      <c r="B43" s="10"/>
    </row>
    <row r="44" spans="1:5" x14ac:dyDescent="0.3">
      <c r="A44" s="14" t="s">
        <v>42</v>
      </c>
    </row>
    <row r="45" spans="1:5" x14ac:dyDescent="0.3">
      <c r="A45" s="15"/>
    </row>
  </sheetData>
  <mergeCells count="2">
    <mergeCell ref="A1:B1"/>
    <mergeCell ref="D1:E1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8"/>
  <sheetViews>
    <sheetView tabSelected="1" zoomScale="89" zoomScaleNormal="125" workbookViewId="0">
      <pane ySplit="3" topLeftCell="A60" activePane="bottomLeft" state="frozen"/>
      <selection pane="bottomLeft" activeCell="G72" sqref="G72"/>
    </sheetView>
  </sheetViews>
  <sheetFormatPr baseColWidth="10" defaultColWidth="8.88671875" defaultRowHeight="14.4" x14ac:dyDescent="0.3"/>
  <cols>
    <col min="1" max="1" width="9.88671875" customWidth="1"/>
    <col min="3" max="5" width="9.33203125" customWidth="1"/>
    <col min="6" max="6" width="11.5546875" customWidth="1"/>
    <col min="7" max="7" width="12.6640625" customWidth="1"/>
    <col min="8" max="8" width="13.6640625" customWidth="1"/>
    <col min="9" max="9" width="12" customWidth="1"/>
    <col min="10" max="10" width="9.6640625" customWidth="1"/>
    <col min="11" max="12" width="8.33203125" customWidth="1"/>
    <col min="13" max="13" width="8.44140625" customWidth="1"/>
    <col min="14" max="14" width="7.33203125" customWidth="1"/>
    <col min="15" max="16" width="9.44140625" customWidth="1"/>
    <col min="17" max="17" width="6.6640625" customWidth="1"/>
    <col min="18" max="18" width="12.109375" customWidth="1"/>
    <col min="19" max="19" width="12.6640625" customWidth="1"/>
    <col min="20" max="20" width="10.33203125" customWidth="1"/>
    <col min="21" max="21" width="12.6640625" customWidth="1"/>
    <col min="24" max="24" width="37.6640625" customWidth="1"/>
  </cols>
  <sheetData>
    <row r="1" spans="1:26" ht="16.2" thickBot="1" x14ac:dyDescent="0.35">
      <c r="A1" s="157" t="s">
        <v>51</v>
      </c>
      <c r="B1" s="158"/>
      <c r="C1" s="159" t="s">
        <v>43</v>
      </c>
      <c r="D1" s="159"/>
      <c r="E1" s="159"/>
      <c r="F1" s="159"/>
      <c r="G1" s="159"/>
      <c r="H1" s="159"/>
      <c r="I1" s="159"/>
      <c r="J1" s="160" t="s">
        <v>52</v>
      </c>
      <c r="K1" s="161" t="s">
        <v>53</v>
      </c>
      <c r="L1" s="161"/>
      <c r="M1" s="161"/>
      <c r="N1" s="161"/>
      <c r="O1" s="161"/>
      <c r="P1" s="161"/>
      <c r="Q1" s="161"/>
      <c r="R1" s="161"/>
      <c r="S1" s="161"/>
      <c r="T1" s="145" t="s">
        <v>54</v>
      </c>
      <c r="U1" s="146"/>
      <c r="V1" s="146"/>
      <c r="W1" s="147"/>
      <c r="Z1">
        <v>10</v>
      </c>
    </row>
    <row r="2" spans="1:26" ht="15" customHeight="1" thickBot="1" x14ac:dyDescent="0.35">
      <c r="A2" s="157"/>
      <c r="B2" s="158"/>
      <c r="C2" s="154" t="s">
        <v>55</v>
      </c>
      <c r="D2" s="154"/>
      <c r="E2" s="154"/>
      <c r="F2" s="155" t="s">
        <v>56</v>
      </c>
      <c r="G2" s="155"/>
      <c r="H2" s="155"/>
      <c r="I2" s="155"/>
      <c r="J2" s="160"/>
      <c r="K2" s="156" t="s">
        <v>57</v>
      </c>
      <c r="L2" s="156"/>
      <c r="M2" s="156"/>
      <c r="N2" s="156"/>
      <c r="O2" s="156"/>
      <c r="P2" s="156"/>
      <c r="Q2" s="156"/>
      <c r="R2" s="156" t="s">
        <v>58</v>
      </c>
      <c r="S2" s="156"/>
      <c r="T2" s="148"/>
      <c r="U2" s="149"/>
      <c r="V2" s="150"/>
      <c r="W2" s="151"/>
    </row>
    <row r="3" spans="1:26" ht="33.75" customHeight="1" thickBot="1" x14ac:dyDescent="0.45">
      <c r="A3" s="157"/>
      <c r="B3" s="23" t="s">
        <v>59</v>
      </c>
      <c r="C3" s="24" t="s">
        <v>60</v>
      </c>
      <c r="D3" s="25" t="s">
        <v>61</v>
      </c>
      <c r="E3" s="26" t="s">
        <v>49</v>
      </c>
      <c r="F3" s="25" t="s">
        <v>62</v>
      </c>
      <c r="G3" s="27" t="s">
        <v>63</v>
      </c>
      <c r="H3" s="27" t="s">
        <v>64</v>
      </c>
      <c r="I3" s="28" t="s">
        <v>65</v>
      </c>
      <c r="J3" s="29" t="s">
        <v>66</v>
      </c>
      <c r="K3" s="30" t="s">
        <v>67</v>
      </c>
      <c r="L3" s="30" t="s">
        <v>68</v>
      </c>
      <c r="M3" s="30" t="s">
        <v>69</v>
      </c>
      <c r="N3" s="31" t="s">
        <v>70</v>
      </c>
      <c r="O3" s="30" t="s">
        <v>71</v>
      </c>
      <c r="P3" s="31" t="s">
        <v>270</v>
      </c>
      <c r="Q3" s="31" t="s">
        <v>72</v>
      </c>
      <c r="R3" s="31" t="s">
        <v>73</v>
      </c>
      <c r="S3" s="30" t="s">
        <v>74</v>
      </c>
      <c r="T3" s="32" t="s">
        <v>75</v>
      </c>
      <c r="U3" s="32" t="s">
        <v>76</v>
      </c>
      <c r="V3" s="62" t="s">
        <v>150</v>
      </c>
      <c r="W3" s="62" t="s">
        <v>151</v>
      </c>
      <c r="X3" s="63" t="s">
        <v>152</v>
      </c>
    </row>
    <row r="4" spans="1:26" ht="14.25" customHeight="1" thickBot="1" x14ac:dyDescent="0.35">
      <c r="A4" s="152" t="s">
        <v>77</v>
      </c>
      <c r="B4" s="33" t="s">
        <v>78</v>
      </c>
      <c r="C4" s="34">
        <v>1</v>
      </c>
      <c r="D4" s="35" t="s">
        <v>79</v>
      </c>
      <c r="E4" s="35" t="s">
        <v>50</v>
      </c>
      <c r="F4" s="35" t="s">
        <v>80</v>
      </c>
      <c r="G4" s="35" t="s">
        <v>81</v>
      </c>
      <c r="H4" s="35" t="s">
        <v>82</v>
      </c>
      <c r="I4" s="36" t="s">
        <v>83</v>
      </c>
      <c r="J4" s="37" t="s">
        <v>120</v>
      </c>
      <c r="K4" s="34">
        <v>4.42</v>
      </c>
      <c r="L4" s="38">
        <f>ABS((Tabelle1[[#This Row],[EC In 
(mS/cm)]]-AVERAGE($K$4:$K$13))/AVERAGE($K$4:$K$13))</f>
        <v>1.4712438698172054E-2</v>
      </c>
      <c r="M4" s="35">
        <v>1.28</v>
      </c>
      <c r="N4" s="35">
        <v>71</v>
      </c>
      <c r="O4" s="35" t="s">
        <v>50</v>
      </c>
      <c r="P4" s="35" t="e">
        <f>$Z$1*(Tabelle1[[#This Row],[Remov. 
(%)]]/100*Tabelle1[[#This Row],[Ry 
(%)]]/100)/Tabelle1[[#This Row],[SEC 
(kWh/m³)]]</f>
        <v>#VALUE!</v>
      </c>
      <c r="Q4" s="35">
        <v>40</v>
      </c>
      <c r="R4" s="35">
        <v>8.2000000000000003E-2</v>
      </c>
      <c r="S4" s="36">
        <v>98.1</v>
      </c>
      <c r="T4" s="34">
        <v>4.0599999999999996</v>
      </c>
      <c r="U4" s="36">
        <v>0.09</v>
      </c>
      <c r="V4" s="40" t="s">
        <v>50</v>
      </c>
      <c r="W4" s="42" t="s">
        <v>50</v>
      </c>
      <c r="X4" s="64" t="s">
        <v>155</v>
      </c>
    </row>
    <row r="5" spans="1:26" ht="15" thickBot="1" x14ac:dyDescent="0.35">
      <c r="A5" s="152"/>
      <c r="B5" s="39" t="s">
        <v>84</v>
      </c>
      <c r="C5" s="40">
        <v>1</v>
      </c>
      <c r="D5" s="18" t="s">
        <v>79</v>
      </c>
      <c r="E5" s="18" t="s">
        <v>50</v>
      </c>
      <c r="F5" s="18" t="s">
        <v>80</v>
      </c>
      <c r="G5" s="41" t="s">
        <v>85</v>
      </c>
      <c r="H5" s="18" t="s">
        <v>82</v>
      </c>
      <c r="I5" s="42" t="s">
        <v>83</v>
      </c>
      <c r="J5" s="43" t="s">
        <v>120</v>
      </c>
      <c r="K5" s="40">
        <v>4.21</v>
      </c>
      <c r="L5" s="44">
        <f>ABS((Tabelle1[[#This Row],[EC In 
(mS/cm)]]-AVERAGE($K$4:$K$13))/AVERAGE($K$4:$K$13))</f>
        <v>6.1524743646901428E-2</v>
      </c>
      <c r="M5" s="18">
        <v>1.82</v>
      </c>
      <c r="N5" s="18">
        <v>57</v>
      </c>
      <c r="O5" s="18" t="s">
        <v>50</v>
      </c>
      <c r="P5" s="18" t="e">
        <f>$Z$1*(Tabelle1[[#This Row],[Remov. 
(%)]]/100*Tabelle1[[#This Row],[Ry 
(%)]]/100)/Tabelle1[[#This Row],[SEC 
(kWh/m³)]]</f>
        <v>#VALUE!</v>
      </c>
      <c r="Q5" s="18">
        <v>41</v>
      </c>
      <c r="R5" s="18">
        <v>0.13400000000000001</v>
      </c>
      <c r="S5" s="42">
        <v>96.8</v>
      </c>
      <c r="T5" s="40">
        <v>4.1500000000000004</v>
      </c>
      <c r="U5" s="42">
        <v>0.16</v>
      </c>
      <c r="V5" s="40" t="s">
        <v>50</v>
      </c>
      <c r="W5" s="42" t="s">
        <v>50</v>
      </c>
      <c r="X5" s="47"/>
    </row>
    <row r="6" spans="1:26" ht="15" thickBot="1" x14ac:dyDescent="0.35">
      <c r="A6" s="152"/>
      <c r="B6" s="39" t="s">
        <v>86</v>
      </c>
      <c r="C6" s="40">
        <v>1</v>
      </c>
      <c r="D6" s="18" t="s">
        <v>79</v>
      </c>
      <c r="E6" s="18" t="s">
        <v>50</v>
      </c>
      <c r="F6" s="18" t="s">
        <v>80</v>
      </c>
      <c r="G6" s="41" t="s">
        <v>87</v>
      </c>
      <c r="H6" s="18" t="s">
        <v>82</v>
      </c>
      <c r="I6" s="42" t="s">
        <v>83</v>
      </c>
      <c r="J6" s="43" t="s">
        <v>120</v>
      </c>
      <c r="K6" s="40">
        <v>4.1500000000000004</v>
      </c>
      <c r="L6" s="44">
        <f>ABS((Tabelle1[[#This Row],[EC In 
(mS/cm)]]-AVERAGE($K$4:$K$13))/AVERAGE($K$4:$K$13))</f>
        <v>7.4899687917966876E-2</v>
      </c>
      <c r="M6" s="18">
        <v>2.36</v>
      </c>
      <c r="N6" s="18">
        <v>43</v>
      </c>
      <c r="O6" s="18" t="s">
        <v>50</v>
      </c>
      <c r="P6" s="18" t="e">
        <f>$Z$1*(Tabelle1[[#This Row],[Remov. 
(%)]]/100*Tabelle1[[#This Row],[Ry 
(%)]]/100)/Tabelle1[[#This Row],[SEC 
(kWh/m³)]]</f>
        <v>#VALUE!</v>
      </c>
      <c r="Q6" s="18">
        <v>37</v>
      </c>
      <c r="R6" s="18">
        <v>0.20200000000000001</v>
      </c>
      <c r="S6" s="42">
        <v>95.1</v>
      </c>
      <c r="T6" s="40">
        <v>4.1100000000000003</v>
      </c>
      <c r="U6" s="42">
        <v>0.24</v>
      </c>
      <c r="V6" s="40" t="s">
        <v>50</v>
      </c>
      <c r="W6" s="42" t="s">
        <v>50</v>
      </c>
      <c r="X6" s="47"/>
    </row>
    <row r="7" spans="1:26" ht="15" thickBot="1" x14ac:dyDescent="0.35">
      <c r="A7" s="152"/>
      <c r="B7" s="39" t="s">
        <v>88</v>
      </c>
      <c r="C7" s="40">
        <v>1</v>
      </c>
      <c r="D7" s="18" t="s">
        <v>79</v>
      </c>
      <c r="E7" s="18" t="s">
        <v>50</v>
      </c>
      <c r="F7" s="18" t="s">
        <v>80</v>
      </c>
      <c r="G7" s="41" t="s">
        <v>89</v>
      </c>
      <c r="H7" s="18" t="s">
        <v>82</v>
      </c>
      <c r="I7" s="42" t="s">
        <v>83</v>
      </c>
      <c r="J7" s="43" t="s">
        <v>120</v>
      </c>
      <c r="K7" s="40">
        <v>4.13</v>
      </c>
      <c r="L7" s="44">
        <f>ABS((Tabelle1[[#This Row],[EC In 
(mS/cm)]]-AVERAGE($K$4:$K$13))/AVERAGE($K$4:$K$13))</f>
        <v>7.9358002674988826E-2</v>
      </c>
      <c r="M7" s="18">
        <v>2.98</v>
      </c>
      <c r="N7" s="18">
        <v>28</v>
      </c>
      <c r="O7" s="18">
        <v>13.81</v>
      </c>
      <c r="P7" s="18">
        <f>$Z$1*(Tabelle1[[#This Row],[Remov. 
(%)]]/100*Tabelle1[[#This Row],[Ry 
(%)]]/100)/Tabelle1[[#This Row],[SEC 
(kWh/m³)]]</f>
        <v>8.3128167994207081E-2</v>
      </c>
      <c r="Q7" s="18">
        <v>41</v>
      </c>
      <c r="R7" s="18">
        <v>0.28499999999999998</v>
      </c>
      <c r="S7" s="42">
        <v>93.1</v>
      </c>
      <c r="T7" s="40">
        <v>4.0999999999999996</v>
      </c>
      <c r="U7" s="42">
        <v>0.28999999999999998</v>
      </c>
      <c r="V7" s="40" t="s">
        <v>50</v>
      </c>
      <c r="W7" s="42" t="s">
        <v>50</v>
      </c>
      <c r="X7" s="47"/>
    </row>
    <row r="8" spans="1:26" ht="15" thickBot="1" x14ac:dyDescent="0.35">
      <c r="A8" s="152"/>
      <c r="B8" s="39" t="s">
        <v>90</v>
      </c>
      <c r="C8" s="40">
        <v>1</v>
      </c>
      <c r="D8" s="18" t="s">
        <v>79</v>
      </c>
      <c r="E8" s="18" t="s">
        <v>50</v>
      </c>
      <c r="F8" s="18" t="s">
        <v>80</v>
      </c>
      <c r="G8" s="18" t="s">
        <v>89</v>
      </c>
      <c r="H8" s="41" t="s">
        <v>91</v>
      </c>
      <c r="I8" s="42" t="s">
        <v>83</v>
      </c>
      <c r="J8" s="43" t="s">
        <v>120</v>
      </c>
      <c r="K8" s="40">
        <v>4.1100000000000003</v>
      </c>
      <c r="L8" s="44">
        <f>ABS((Tabelle1[[#This Row],[EC In 
(mS/cm)]]-AVERAGE($K$4:$K$13))/AVERAGE($K$4:$K$13))</f>
        <v>8.3816317432010581E-2</v>
      </c>
      <c r="M8" s="18">
        <v>3.08</v>
      </c>
      <c r="N8" s="18">
        <v>25</v>
      </c>
      <c r="O8" s="18" t="s">
        <v>50</v>
      </c>
      <c r="P8" s="18" t="e">
        <f>$Z$1*(Tabelle1[[#This Row],[Remov. 
(%)]]/100*Tabelle1[[#This Row],[Ry 
(%)]]/100)/Tabelle1[[#This Row],[SEC 
(kWh/m³)]]</f>
        <v>#VALUE!</v>
      </c>
      <c r="Q8" s="18">
        <v>37</v>
      </c>
      <c r="R8" s="18">
        <v>0.28499999999999998</v>
      </c>
      <c r="S8" s="42">
        <v>93.1</v>
      </c>
      <c r="T8" s="40">
        <v>4.08</v>
      </c>
      <c r="U8" s="42">
        <v>0.3</v>
      </c>
      <c r="V8" s="40" t="s">
        <v>50</v>
      </c>
      <c r="W8" s="42" t="s">
        <v>50</v>
      </c>
      <c r="X8" s="47"/>
    </row>
    <row r="9" spans="1:26" ht="15" thickBot="1" x14ac:dyDescent="0.35">
      <c r="A9" s="152"/>
      <c r="B9" s="39" t="s">
        <v>92</v>
      </c>
      <c r="C9" s="40">
        <v>1</v>
      </c>
      <c r="D9" s="18" t="s">
        <v>79</v>
      </c>
      <c r="E9" s="18" t="s">
        <v>50</v>
      </c>
      <c r="F9" s="45" t="s">
        <v>93</v>
      </c>
      <c r="G9" s="18" t="s">
        <v>89</v>
      </c>
      <c r="H9" s="18" t="s">
        <v>91</v>
      </c>
      <c r="I9" s="46" t="s">
        <v>94</v>
      </c>
      <c r="J9" s="43" t="s">
        <v>120</v>
      </c>
      <c r="K9" s="40">
        <v>4.0999999999999996</v>
      </c>
      <c r="L9" s="44">
        <f>ABS((Tabelle1[[#This Row],[EC In 
(mS/cm)]]-AVERAGE($K$4:$K$13))/AVERAGE($K$4:$K$13))</f>
        <v>8.604547481052166E-2</v>
      </c>
      <c r="M9" s="18">
        <v>3.4</v>
      </c>
      <c r="N9" s="18">
        <v>17</v>
      </c>
      <c r="O9" s="18">
        <v>16.920000000000002</v>
      </c>
      <c r="P9" s="18">
        <f>$Z$1*(Tabelle1[[#This Row],[Remov. 
(%)]]/100*Tabelle1[[#This Row],[Ry 
(%)]]/100)/Tabelle1[[#This Row],[SEC 
(kWh/m³)]]</f>
        <v>3.5165484633569742E-2</v>
      </c>
      <c r="Q9" s="18">
        <v>35</v>
      </c>
      <c r="R9" s="18">
        <v>0.32800000000000001</v>
      </c>
      <c r="S9" s="42">
        <v>92</v>
      </c>
      <c r="T9" s="40">
        <v>4.07</v>
      </c>
      <c r="U9" s="42">
        <v>0.36</v>
      </c>
      <c r="V9" s="40" t="s">
        <v>50</v>
      </c>
      <c r="W9" s="42" t="s">
        <v>50</v>
      </c>
      <c r="X9" s="47"/>
    </row>
    <row r="10" spans="1:26" ht="15" thickBot="1" x14ac:dyDescent="0.35">
      <c r="A10" s="152"/>
      <c r="B10" s="39" t="s">
        <v>95</v>
      </c>
      <c r="C10" s="40">
        <v>1</v>
      </c>
      <c r="D10" s="18" t="s">
        <v>79</v>
      </c>
      <c r="E10" s="18" t="s">
        <v>50</v>
      </c>
      <c r="F10" s="18" t="s">
        <v>93</v>
      </c>
      <c r="G10" s="18" t="s">
        <v>89</v>
      </c>
      <c r="H10" s="18" t="s">
        <v>91</v>
      </c>
      <c r="I10" s="46" t="s">
        <v>96</v>
      </c>
      <c r="J10" s="43" t="s">
        <v>120</v>
      </c>
      <c r="K10" s="40">
        <v>4.1100000000000003</v>
      </c>
      <c r="L10" s="44">
        <f>ABS((Tabelle1[[#This Row],[EC In 
(mS/cm)]]-AVERAGE($K$4:$K$13))/AVERAGE($K$4:$K$13))</f>
        <v>8.3816317432010581E-2</v>
      </c>
      <c r="M10" s="18">
        <v>3.45</v>
      </c>
      <c r="N10" s="18">
        <v>16</v>
      </c>
      <c r="O10" s="18" t="s">
        <v>50</v>
      </c>
      <c r="P10" s="18" t="e">
        <f>$Z$1*(Tabelle1[[#This Row],[Remov. 
(%)]]/100*Tabelle1[[#This Row],[Ry 
(%)]]/100)/Tabelle1[[#This Row],[SEC 
(kWh/m³)]]</f>
        <v>#VALUE!</v>
      </c>
      <c r="Q10" s="18">
        <v>34</v>
      </c>
      <c r="R10" s="18">
        <v>0.34499999999999997</v>
      </c>
      <c r="S10" s="42">
        <v>91.6</v>
      </c>
      <c r="T10" s="40">
        <v>4.0599999999999996</v>
      </c>
      <c r="U10" s="42">
        <v>0.38</v>
      </c>
      <c r="V10" s="40" t="s">
        <v>50</v>
      </c>
      <c r="W10" s="42" t="s">
        <v>50</v>
      </c>
      <c r="X10" s="47"/>
    </row>
    <row r="11" spans="1:26" ht="29.4" thickBot="1" x14ac:dyDescent="0.35">
      <c r="A11" s="152"/>
      <c r="B11" s="39" t="s">
        <v>97</v>
      </c>
      <c r="C11" s="40">
        <v>1</v>
      </c>
      <c r="D11" s="18" t="s">
        <v>79</v>
      </c>
      <c r="E11" s="18" t="s">
        <v>50</v>
      </c>
      <c r="F11" s="45" t="s">
        <v>98</v>
      </c>
      <c r="G11" s="45" t="s">
        <v>81</v>
      </c>
      <c r="H11" s="45" t="s">
        <v>82</v>
      </c>
      <c r="I11" s="46" t="s">
        <v>83</v>
      </c>
      <c r="J11" s="43" t="s">
        <v>99</v>
      </c>
      <c r="K11" s="40">
        <v>5.19</v>
      </c>
      <c r="L11" s="44">
        <f>ABS((Tabelle1[[#This Row],[EC In 
(mS/cm)]]-AVERAGE($K$4:$K$13))/AVERAGE($K$4:$K$13))</f>
        <v>0.15693267944716913</v>
      </c>
      <c r="M11" s="18">
        <v>0.88</v>
      </c>
      <c r="N11" s="18">
        <v>87</v>
      </c>
      <c r="O11" s="18">
        <v>10.27</v>
      </c>
      <c r="P11" s="18">
        <f>$Z$1*(Tabelle1[[#This Row],[Remov. 
(%)]]/100*Tabelle1[[#This Row],[Ry 
(%)]]/100)/Tabelle1[[#This Row],[SEC 
(kWh/m³)]]</f>
        <v>0.30496592015579355</v>
      </c>
      <c r="Q11" s="18">
        <v>36</v>
      </c>
      <c r="R11" s="18">
        <v>0.14199999999999999</v>
      </c>
      <c r="S11" s="42">
        <v>97.2</v>
      </c>
      <c r="T11" s="40">
        <v>5.2</v>
      </c>
      <c r="U11" s="42">
        <v>0.15</v>
      </c>
      <c r="V11" s="40" t="s">
        <v>50</v>
      </c>
      <c r="W11" s="42" t="s">
        <v>50</v>
      </c>
      <c r="X11" s="65" t="s">
        <v>153</v>
      </c>
    </row>
    <row r="12" spans="1:26" ht="29.4" thickBot="1" x14ac:dyDescent="0.35">
      <c r="A12" s="152"/>
      <c r="B12" s="48" t="s">
        <v>100</v>
      </c>
      <c r="C12" s="40">
        <v>1</v>
      </c>
      <c r="D12" s="18" t="s">
        <v>79</v>
      </c>
      <c r="E12" s="18" t="s">
        <v>50</v>
      </c>
      <c r="F12" s="18" t="s">
        <v>98</v>
      </c>
      <c r="G12" s="45" t="s">
        <v>85</v>
      </c>
      <c r="H12" s="18" t="s">
        <v>82</v>
      </c>
      <c r="I12" s="42" t="s">
        <v>83</v>
      </c>
      <c r="J12" s="43" t="s">
        <v>99</v>
      </c>
      <c r="K12" s="40">
        <v>5.17</v>
      </c>
      <c r="L12" s="44">
        <f>ABS((Tabelle1[[#This Row],[EC In 
(mS/cm)]]-AVERAGE($K$4:$K$13))/AVERAGE($K$4:$K$13))</f>
        <v>0.15247436469014716</v>
      </c>
      <c r="M12" s="18">
        <v>0.77</v>
      </c>
      <c r="N12" s="18">
        <v>84</v>
      </c>
      <c r="O12" s="18">
        <v>12.16</v>
      </c>
      <c r="P12" s="18">
        <f>$Z$1*(Tabelle1[[#This Row],[Remov. 
(%)]]/100*Tabelle1[[#This Row],[Ry 
(%)]]/100)/Tabelle1[[#This Row],[SEC 
(kWh/m³)]]</f>
        <v>0.25559210526315784</v>
      </c>
      <c r="Q12" s="18">
        <v>37</v>
      </c>
      <c r="R12" s="18">
        <v>0.44800000000000001</v>
      </c>
      <c r="S12" s="42">
        <v>91.4</v>
      </c>
      <c r="T12" s="40">
        <v>5.15</v>
      </c>
      <c r="U12" s="42">
        <v>0.5</v>
      </c>
      <c r="V12" s="40" t="s">
        <v>50</v>
      </c>
      <c r="W12" s="42" t="s">
        <v>50</v>
      </c>
      <c r="X12" s="65" t="s">
        <v>153</v>
      </c>
    </row>
    <row r="13" spans="1:26" ht="29.4" thickBot="1" x14ac:dyDescent="0.35">
      <c r="A13" s="152"/>
      <c r="B13" s="49" t="s">
        <v>101</v>
      </c>
      <c r="C13" s="50">
        <v>1</v>
      </c>
      <c r="D13" s="51" t="s">
        <v>79</v>
      </c>
      <c r="E13" s="51" t="s">
        <v>50</v>
      </c>
      <c r="F13" s="51" t="s">
        <v>98</v>
      </c>
      <c r="G13" s="52" t="s">
        <v>87</v>
      </c>
      <c r="H13" s="51" t="s">
        <v>82</v>
      </c>
      <c r="I13" s="53" t="s">
        <v>83</v>
      </c>
      <c r="J13" s="60" t="s">
        <v>99</v>
      </c>
      <c r="K13" s="50">
        <v>5.27</v>
      </c>
      <c r="L13" s="54">
        <f>ABS((Tabelle1[[#This Row],[EC In 
(mS/cm)]]-AVERAGE($K$4:$K$13))/AVERAGE($K$4:$K$13))</f>
        <v>0.17476593847525632</v>
      </c>
      <c r="M13" s="51">
        <v>0.68</v>
      </c>
      <c r="N13" s="51">
        <v>85</v>
      </c>
      <c r="O13" s="51">
        <v>15.28</v>
      </c>
      <c r="P13" s="51">
        <f>$Z$1*(Tabelle1[[#This Row],[Remov. 
(%)]]/100*Tabelle1[[#This Row],[Ry 
(%)]]/100)/Tabelle1[[#This Row],[SEC 
(kWh/m³)]]</f>
        <v>0.19469895287958114</v>
      </c>
      <c r="Q13" s="51">
        <v>35</v>
      </c>
      <c r="R13" s="51">
        <v>0.182</v>
      </c>
      <c r="S13" s="53">
        <v>96.5</v>
      </c>
      <c r="T13" s="50">
        <v>5.05</v>
      </c>
      <c r="U13" s="53">
        <v>0.18</v>
      </c>
      <c r="V13" s="40" t="s">
        <v>50</v>
      </c>
      <c r="W13" s="42" t="s">
        <v>50</v>
      </c>
      <c r="X13" s="66" t="s">
        <v>153</v>
      </c>
    </row>
    <row r="14" spans="1:26" ht="15" thickBot="1" x14ac:dyDescent="0.35">
      <c r="A14" s="153" t="s">
        <v>102</v>
      </c>
      <c r="B14" s="55" t="s">
        <v>103</v>
      </c>
      <c r="C14" s="56">
        <v>0.5</v>
      </c>
      <c r="D14" s="35" t="s">
        <v>79</v>
      </c>
      <c r="E14" s="35" t="s">
        <v>50</v>
      </c>
      <c r="F14" s="57" t="s">
        <v>104</v>
      </c>
      <c r="G14" s="57" t="s">
        <v>81</v>
      </c>
      <c r="H14" s="35" t="s">
        <v>82</v>
      </c>
      <c r="I14" s="36" t="s">
        <v>83</v>
      </c>
      <c r="J14" s="37" t="s">
        <v>120</v>
      </c>
      <c r="K14" s="34">
        <v>3.2</v>
      </c>
      <c r="L14" s="38">
        <f>ABS(Tabelle1[[#This Row],[EC In 
(mS/cm)]]-AVERAGE($K$14:$K$21))/AVERAGE($K$14:$K$21)</f>
        <v>3.2867397053267758E-2</v>
      </c>
      <c r="M14" s="35">
        <v>0.12</v>
      </c>
      <c r="N14" s="35">
        <v>96</v>
      </c>
      <c r="O14" s="35">
        <v>9.86</v>
      </c>
      <c r="P14" s="35">
        <f>$Z$1*(Tabelle1[[#This Row],[Remov. 
(%)]]/100*Tabelle1[[#This Row],[Ry 
(%)]]/100)/Tabelle1[[#This Row],[SEC 
(kWh/m³)]]</f>
        <v>0.35050709939148078</v>
      </c>
      <c r="Q14" s="35">
        <v>36</v>
      </c>
      <c r="R14" s="35">
        <v>5.8000000000000003E-2</v>
      </c>
      <c r="S14" s="36">
        <v>98.2</v>
      </c>
      <c r="T14" s="34">
        <v>3.2</v>
      </c>
      <c r="U14" s="36">
        <v>0.06</v>
      </c>
      <c r="V14" s="40" t="s">
        <v>50</v>
      </c>
      <c r="W14" s="42" t="s">
        <v>50</v>
      </c>
      <c r="X14" s="47"/>
    </row>
    <row r="15" spans="1:26" ht="15" thickBot="1" x14ac:dyDescent="0.35">
      <c r="A15" s="153"/>
      <c r="B15" s="58" t="s">
        <v>105</v>
      </c>
      <c r="C15" s="40">
        <v>0.5</v>
      </c>
      <c r="D15" s="18" t="s">
        <v>79</v>
      </c>
      <c r="E15" s="18" t="s">
        <v>50</v>
      </c>
      <c r="F15" s="18" t="s">
        <v>104</v>
      </c>
      <c r="G15" s="45" t="s">
        <v>85</v>
      </c>
      <c r="H15" s="18" t="s">
        <v>82</v>
      </c>
      <c r="I15" s="42" t="s">
        <v>83</v>
      </c>
      <c r="J15" s="43" t="s">
        <v>120</v>
      </c>
      <c r="K15" s="40">
        <v>3.35</v>
      </c>
      <c r="L15" s="44">
        <f>ABS(Tabelle1[[#This Row],[EC In 
(mS/cm)]]-AVERAGE($K$14:$K$21))/AVERAGE($K$14:$K$21)</f>
        <v>1.246694370986029E-2</v>
      </c>
      <c r="M15" s="18">
        <v>0.19</v>
      </c>
      <c r="N15" s="18">
        <v>95</v>
      </c>
      <c r="O15" s="18">
        <v>12.04</v>
      </c>
      <c r="P15" s="18">
        <f>$Z$1*(Tabelle1[[#This Row],[Remov. 
(%)]]/100*Tabelle1[[#This Row],[Ry 
(%)]]/100)/Tabelle1[[#This Row],[SEC 
(kWh/m³)]]</f>
        <v>0.28405315614617943</v>
      </c>
      <c r="Q15" s="18">
        <v>36</v>
      </c>
      <c r="R15" s="18">
        <v>0.08</v>
      </c>
      <c r="S15" s="42">
        <v>97.7</v>
      </c>
      <c r="T15" s="40">
        <v>3.2</v>
      </c>
      <c r="U15" s="42">
        <v>0.08</v>
      </c>
      <c r="V15" s="40" t="s">
        <v>50</v>
      </c>
      <c r="W15" s="42" t="s">
        <v>50</v>
      </c>
      <c r="X15" s="47"/>
    </row>
    <row r="16" spans="1:26" ht="15" thickBot="1" x14ac:dyDescent="0.35">
      <c r="A16" s="153"/>
      <c r="B16" s="58" t="s">
        <v>106</v>
      </c>
      <c r="C16" s="40">
        <v>0.5</v>
      </c>
      <c r="D16" s="18" t="s">
        <v>79</v>
      </c>
      <c r="E16" s="18" t="s">
        <v>50</v>
      </c>
      <c r="F16" s="18" t="s">
        <v>104</v>
      </c>
      <c r="G16" s="45" t="s">
        <v>87</v>
      </c>
      <c r="H16" s="18" t="s">
        <v>82</v>
      </c>
      <c r="I16" s="42" t="s">
        <v>83</v>
      </c>
      <c r="J16" s="43" t="s">
        <v>120</v>
      </c>
      <c r="K16" s="40">
        <v>3.53</v>
      </c>
      <c r="L16" s="44">
        <f>ABS(Tabelle1[[#This Row],[EC In 
(mS/cm)]]-AVERAGE($K$14:$K$21))/AVERAGE($K$14:$K$21)</f>
        <v>6.6868152625613894E-2</v>
      </c>
      <c r="M16" s="18">
        <v>0.33</v>
      </c>
      <c r="N16" s="18">
        <v>89</v>
      </c>
      <c r="O16" s="18">
        <v>14.7</v>
      </c>
      <c r="P16" s="18">
        <f>$Z$1*(Tabelle1[[#This Row],[Remov. 
(%)]]/100*Tabelle1[[#This Row],[Ry 
(%)]]/100)/Tabelle1[[#This Row],[SEC 
(kWh/m³)]]</f>
        <v>0.20585034013605444</v>
      </c>
      <c r="Q16" s="18">
        <v>34</v>
      </c>
      <c r="R16" s="18">
        <v>0.111</v>
      </c>
      <c r="S16" s="42">
        <v>96.6</v>
      </c>
      <c r="T16" s="40">
        <v>3.4</v>
      </c>
      <c r="U16" s="42">
        <v>0.12</v>
      </c>
      <c r="V16" s="40" t="s">
        <v>50</v>
      </c>
      <c r="W16" s="42" t="s">
        <v>50</v>
      </c>
      <c r="X16" s="47"/>
    </row>
    <row r="17" spans="1:24" ht="15" thickBot="1" x14ac:dyDescent="0.35">
      <c r="A17" s="153"/>
      <c r="B17" s="58" t="s">
        <v>107</v>
      </c>
      <c r="C17" s="40">
        <v>0.5</v>
      </c>
      <c r="D17" s="18" t="s">
        <v>79</v>
      </c>
      <c r="E17" s="18" t="s">
        <v>50</v>
      </c>
      <c r="F17" s="18" t="s">
        <v>104</v>
      </c>
      <c r="G17" s="45" t="s">
        <v>89</v>
      </c>
      <c r="H17" s="18" t="s">
        <v>82</v>
      </c>
      <c r="I17" s="42" t="s">
        <v>83</v>
      </c>
      <c r="J17" s="43" t="s">
        <v>120</v>
      </c>
      <c r="K17" s="40">
        <v>3.61</v>
      </c>
      <c r="L17" s="44">
        <f>ABS(Tabelle1[[#This Row],[EC In 
(mS/cm)]]-AVERAGE($K$14:$K$21))/AVERAGE($K$14:$K$21)</f>
        <v>9.1046467699282221E-2</v>
      </c>
      <c r="M17" s="18">
        <v>0.52</v>
      </c>
      <c r="N17" s="18">
        <v>83</v>
      </c>
      <c r="O17" s="18">
        <v>17.079999999999998</v>
      </c>
      <c r="P17" s="18">
        <f>$Z$1*(Tabelle1[[#This Row],[Remov. 
(%)]]/100*Tabelle1[[#This Row],[Ry 
(%)]]/100)/Tabelle1[[#This Row],[SEC 
(kWh/m³)]]</f>
        <v>0.16036299765807963</v>
      </c>
      <c r="Q17" s="18">
        <v>33</v>
      </c>
      <c r="R17" s="18">
        <v>0.14299999999999999</v>
      </c>
      <c r="S17" s="42">
        <v>95.6</v>
      </c>
      <c r="T17" s="40">
        <v>3.5</v>
      </c>
      <c r="U17" s="42">
        <v>0.16</v>
      </c>
      <c r="V17" s="40" t="s">
        <v>50</v>
      </c>
      <c r="W17" s="42" t="s">
        <v>50</v>
      </c>
      <c r="X17" s="47"/>
    </row>
    <row r="18" spans="1:24" ht="15" thickBot="1" x14ac:dyDescent="0.35">
      <c r="A18" s="153"/>
      <c r="B18" s="58" t="s">
        <v>108</v>
      </c>
      <c r="C18" s="40">
        <v>0.5</v>
      </c>
      <c r="D18" s="18" t="s">
        <v>79</v>
      </c>
      <c r="E18" s="18" t="s">
        <v>50</v>
      </c>
      <c r="F18" s="18" t="s">
        <v>104</v>
      </c>
      <c r="G18" s="45" t="s">
        <v>109</v>
      </c>
      <c r="H18" s="18" t="s">
        <v>82</v>
      </c>
      <c r="I18" s="42" t="s">
        <v>83</v>
      </c>
      <c r="J18" s="43" t="s">
        <v>120</v>
      </c>
      <c r="K18" s="40">
        <v>3.26</v>
      </c>
      <c r="L18" s="44">
        <f>ABS(Tabelle1[[#This Row],[EC In 
(mS/cm)]]-AVERAGE($K$14:$K$21))/AVERAGE($K$14:$K$21)</f>
        <v>1.4733660748016644E-2</v>
      </c>
      <c r="M18" s="18">
        <v>0.1</v>
      </c>
      <c r="N18" s="18">
        <v>97</v>
      </c>
      <c r="O18" s="18">
        <v>8.26</v>
      </c>
      <c r="P18" s="18">
        <f>$Z$1*(Tabelle1[[#This Row],[Remov. 
(%)]]/100*Tabelle1[[#This Row],[Ry 
(%)]]/100)/Tabelle1[[#This Row],[SEC 
(kWh/m³)]]</f>
        <v>0.42276029055690073</v>
      </c>
      <c r="Q18" s="18">
        <v>36</v>
      </c>
      <c r="R18" s="18">
        <v>4.9000000000000002E-2</v>
      </c>
      <c r="S18" s="42">
        <v>98.5</v>
      </c>
      <c r="T18" s="40" t="s">
        <v>50</v>
      </c>
      <c r="U18" s="42" t="s">
        <v>50</v>
      </c>
      <c r="V18" s="40" t="s">
        <v>50</v>
      </c>
      <c r="W18" s="42" t="s">
        <v>50</v>
      </c>
      <c r="X18" s="47"/>
    </row>
    <row r="19" spans="1:24" ht="15" thickBot="1" x14ac:dyDescent="0.35">
      <c r="A19" s="153"/>
      <c r="B19" s="58" t="s">
        <v>110</v>
      </c>
      <c r="C19" s="40">
        <v>0.5</v>
      </c>
      <c r="D19" s="18" t="s">
        <v>79</v>
      </c>
      <c r="E19" s="18" t="s">
        <v>50</v>
      </c>
      <c r="F19" s="18" t="s">
        <v>104</v>
      </c>
      <c r="G19" s="45" t="s">
        <v>111</v>
      </c>
      <c r="H19" s="18" t="s">
        <v>82</v>
      </c>
      <c r="I19" s="42" t="s">
        <v>83</v>
      </c>
      <c r="J19" s="43" t="s">
        <v>99</v>
      </c>
      <c r="K19" s="40">
        <v>3.29</v>
      </c>
      <c r="L19" s="44">
        <f>ABS(Tabelle1[[#This Row],[EC In 
(mS/cm)]]-AVERAGE($K$14:$K$21))/AVERAGE($K$14:$K$21)</f>
        <v>5.6667925953909556E-3</v>
      </c>
      <c r="M19" s="18">
        <v>0.16</v>
      </c>
      <c r="N19" s="18">
        <v>95</v>
      </c>
      <c r="O19" s="18">
        <v>7.29</v>
      </c>
      <c r="P19" s="18">
        <f>$Z$1*(Tabelle1[[#This Row],[Remov. 
(%)]]/100*Tabelle1[[#This Row],[Ry 
(%)]]/100)/Tabelle1[[#This Row],[SEC 
(kWh/m³)]]</f>
        <v>0.45610425240054869</v>
      </c>
      <c r="Q19" s="18">
        <v>35</v>
      </c>
      <c r="R19" s="18">
        <v>7.0999999999999994E-2</v>
      </c>
      <c r="S19" s="42">
        <v>97.9</v>
      </c>
      <c r="T19" s="40" t="s">
        <v>50</v>
      </c>
      <c r="U19" s="42" t="s">
        <v>50</v>
      </c>
      <c r="V19" s="40" t="s">
        <v>50</v>
      </c>
      <c r="W19" s="42" t="s">
        <v>50</v>
      </c>
      <c r="X19" s="65" t="s">
        <v>158</v>
      </c>
    </row>
    <row r="20" spans="1:24" ht="15" thickBot="1" x14ac:dyDescent="0.35">
      <c r="A20" s="153"/>
      <c r="B20" s="58" t="s">
        <v>112</v>
      </c>
      <c r="C20" s="40">
        <v>0.5</v>
      </c>
      <c r="D20" s="18" t="s">
        <v>79</v>
      </c>
      <c r="E20" s="18" t="s">
        <v>50</v>
      </c>
      <c r="F20" s="18" t="s">
        <v>104</v>
      </c>
      <c r="G20" s="45" t="s">
        <v>113</v>
      </c>
      <c r="H20" s="18" t="s">
        <v>82</v>
      </c>
      <c r="I20" s="42" t="s">
        <v>83</v>
      </c>
      <c r="J20" s="43" t="s">
        <v>99</v>
      </c>
      <c r="K20" s="40">
        <v>3.14</v>
      </c>
      <c r="L20" s="44">
        <f>ABS(Tabelle1[[#This Row],[EC In 
(mS/cm)]]-AVERAGE($K$14:$K$21))/AVERAGE($K$14:$K$21)</f>
        <v>5.1001133358519003E-2</v>
      </c>
      <c r="M20" s="18">
        <v>0.27</v>
      </c>
      <c r="N20" s="18">
        <v>91</v>
      </c>
      <c r="O20" s="18">
        <v>5.9</v>
      </c>
      <c r="P20" s="18">
        <f>$Z$1*(Tabelle1[[#This Row],[Remov. 
(%)]]/100*Tabelle1[[#This Row],[Ry 
(%)]]/100)/Tabelle1[[#This Row],[SEC 
(kWh/m³)]]</f>
        <v>0.53983050847457625</v>
      </c>
      <c r="Q20" s="18">
        <v>35</v>
      </c>
      <c r="R20" s="18">
        <v>0.14000000000000001</v>
      </c>
      <c r="S20" s="42">
        <v>95.6</v>
      </c>
      <c r="T20" s="40" t="s">
        <v>50</v>
      </c>
      <c r="U20" s="42" t="s">
        <v>50</v>
      </c>
      <c r="V20" s="40" t="s">
        <v>50</v>
      </c>
      <c r="W20" s="42" t="s">
        <v>50</v>
      </c>
      <c r="X20" s="65" t="s">
        <v>158</v>
      </c>
    </row>
    <row r="21" spans="1:24" ht="15" thickBot="1" x14ac:dyDescent="0.35">
      <c r="A21" s="153"/>
      <c r="B21" s="59" t="s">
        <v>114</v>
      </c>
      <c r="C21" s="50">
        <v>0.5</v>
      </c>
      <c r="D21" s="51" t="s">
        <v>79</v>
      </c>
      <c r="E21" s="51" t="s">
        <v>50</v>
      </c>
      <c r="F21" s="51" t="s">
        <v>104</v>
      </c>
      <c r="G21" s="52" t="s">
        <v>115</v>
      </c>
      <c r="H21" s="51" t="s">
        <v>82</v>
      </c>
      <c r="I21" s="53" t="s">
        <v>83</v>
      </c>
      <c r="J21" s="43" t="s">
        <v>99</v>
      </c>
      <c r="K21" s="40">
        <v>3.09</v>
      </c>
      <c r="L21" s="44">
        <f>ABS(Tabelle1[[#This Row],[EC In 
(mS/cm)]]-AVERAGE($K$14:$K$21))/AVERAGE($K$14:$K$21)</f>
        <v>6.6112580279561767E-2</v>
      </c>
      <c r="M21" s="18">
        <v>0.43</v>
      </c>
      <c r="N21" s="18">
        <v>86</v>
      </c>
      <c r="O21" s="18">
        <v>5.38</v>
      </c>
      <c r="P21" s="18">
        <f>$Z$1*(Tabelle1[[#This Row],[Remov. 
(%)]]/100*Tabelle1[[#This Row],[Ry 
(%)]]/100)/Tabelle1[[#This Row],[SEC 
(kWh/m³)]]</f>
        <v>0.52750929368029742</v>
      </c>
      <c r="Q21" s="18">
        <v>33</v>
      </c>
      <c r="R21" s="18">
        <v>0.23499999999999999</v>
      </c>
      <c r="S21" s="42">
        <v>92.5</v>
      </c>
      <c r="T21" s="40" t="s">
        <v>50</v>
      </c>
      <c r="U21" s="42" t="s">
        <v>50</v>
      </c>
      <c r="V21" s="40" t="s">
        <v>50</v>
      </c>
      <c r="W21" s="42" t="s">
        <v>50</v>
      </c>
      <c r="X21" s="65" t="s">
        <v>158</v>
      </c>
    </row>
    <row r="22" spans="1:24" ht="15" customHeight="1" x14ac:dyDescent="0.3">
      <c r="A22" s="139" t="s">
        <v>116</v>
      </c>
      <c r="B22" s="72" t="s">
        <v>117</v>
      </c>
      <c r="C22" s="35">
        <v>0.5</v>
      </c>
      <c r="D22" s="35" t="s">
        <v>79</v>
      </c>
      <c r="E22" s="35">
        <v>7.55</v>
      </c>
      <c r="F22" s="35" t="s">
        <v>104</v>
      </c>
      <c r="G22" s="57" t="s">
        <v>118</v>
      </c>
      <c r="H22" s="61" t="s">
        <v>148</v>
      </c>
      <c r="I22" s="35" t="s">
        <v>83</v>
      </c>
      <c r="J22" s="37" t="s">
        <v>149</v>
      </c>
      <c r="K22" s="35">
        <v>2.41</v>
      </c>
      <c r="L22" s="38">
        <f>ABS(Tabelle1[[#This Row],[EC In 
(mS/cm)]]-AVERAGE($K$22:$K$47))/AVERAGE($K$22:$K$47)</f>
        <v>2.4023533257068484E-2</v>
      </c>
      <c r="M22" s="35">
        <v>0.06</v>
      </c>
      <c r="N22" s="35">
        <v>97</v>
      </c>
      <c r="O22" s="35">
        <v>9.48</v>
      </c>
      <c r="P22" s="35">
        <f>$Z$1*(Tabelle1[[#This Row],[Remov. 
(%)]]/100*Tabelle1[[#This Row],[Ry 
(%)]]/100)/Tabelle1[[#This Row],[SEC 
(kWh/m³)]]</f>
        <v>0.3683544303797468</v>
      </c>
      <c r="Q22" s="35">
        <v>36</v>
      </c>
      <c r="R22" s="35">
        <v>1.9E-2</v>
      </c>
      <c r="S22" s="35">
        <v>99.1</v>
      </c>
      <c r="T22" s="34">
        <v>2.31</v>
      </c>
      <c r="U22" s="36" t="s">
        <v>50</v>
      </c>
      <c r="V22" s="35">
        <v>6.7</v>
      </c>
      <c r="W22" s="35">
        <v>7.3</v>
      </c>
      <c r="X22" s="64" t="s">
        <v>154</v>
      </c>
    </row>
    <row r="23" spans="1:24" x14ac:dyDescent="0.3">
      <c r="A23" s="140"/>
      <c r="B23" s="73" t="s">
        <v>119</v>
      </c>
      <c r="C23" s="18">
        <v>0.5</v>
      </c>
      <c r="D23" s="18" t="s">
        <v>79</v>
      </c>
      <c r="E23" s="18">
        <v>7.55</v>
      </c>
      <c r="F23" s="18" t="s">
        <v>104</v>
      </c>
      <c r="G23" s="45" t="s">
        <v>81</v>
      </c>
      <c r="H23" s="68" t="s">
        <v>82</v>
      </c>
      <c r="I23" s="18" t="s">
        <v>83</v>
      </c>
      <c r="J23" s="43" t="s">
        <v>120</v>
      </c>
      <c r="K23" s="18">
        <v>2.33</v>
      </c>
      <c r="L23" s="44">
        <f>ABS(Tabelle1[[#This Row],[EC In 
(mS/cm)]]-AVERAGE($K$22:$K$47))/AVERAGE($K$22:$K$47)</f>
        <v>9.9689491747014525E-3</v>
      </c>
      <c r="M23" s="18">
        <v>0.05</v>
      </c>
      <c r="N23" s="18">
        <v>98</v>
      </c>
      <c r="O23" s="18">
        <v>7.1</v>
      </c>
      <c r="P23" s="18">
        <f>$Z$1*(Tabelle1[[#This Row],[Remov. 
(%)]]/100*Tabelle1[[#This Row],[Ry 
(%)]]/100)/Tabelle1[[#This Row],[SEC 
(kWh/m³)]]</f>
        <v>0.46929577464788735</v>
      </c>
      <c r="Q23" s="18">
        <v>34</v>
      </c>
      <c r="R23" s="18">
        <v>1.7999999999999999E-2</v>
      </c>
      <c r="S23" s="18">
        <v>99.2</v>
      </c>
      <c r="T23" s="40">
        <v>2.27</v>
      </c>
      <c r="U23" s="42" t="s">
        <v>50</v>
      </c>
      <c r="V23" s="18">
        <v>6.8</v>
      </c>
      <c r="W23" s="18">
        <v>7.98</v>
      </c>
      <c r="X23" s="47"/>
    </row>
    <row r="24" spans="1:24" x14ac:dyDescent="0.3">
      <c r="A24" s="140"/>
      <c r="B24" s="73" t="s">
        <v>121</v>
      </c>
      <c r="C24" s="18">
        <v>0.5</v>
      </c>
      <c r="D24" s="18" t="s">
        <v>79</v>
      </c>
      <c r="E24" s="18">
        <v>7.59</v>
      </c>
      <c r="F24" s="18" t="s">
        <v>104</v>
      </c>
      <c r="G24" s="45" t="s">
        <v>122</v>
      </c>
      <c r="H24" s="18" t="s">
        <v>82</v>
      </c>
      <c r="I24" s="18" t="s">
        <v>83</v>
      </c>
      <c r="J24" s="43" t="s">
        <v>120</v>
      </c>
      <c r="K24" s="18">
        <v>2.2599999999999998</v>
      </c>
      <c r="L24" s="44">
        <f>ABS(Tabelle1[[#This Row],[EC In 
(mS/cm)]]-AVERAGE($K$22:$K$47))/AVERAGE($K$22:$K$47)</f>
        <v>3.9712371302500243E-2</v>
      </c>
      <c r="M24" s="18">
        <v>0.05</v>
      </c>
      <c r="N24" s="18">
        <v>98</v>
      </c>
      <c r="O24" s="18">
        <v>7.58</v>
      </c>
      <c r="P24" s="18">
        <f>$Z$1*(Tabelle1[[#This Row],[Remov. 
(%)]]/100*Tabelle1[[#This Row],[Ry 
(%)]]/100)/Tabelle1[[#This Row],[SEC 
(kWh/m³)]]</f>
        <v>0.42664907651715034</v>
      </c>
      <c r="Q24" s="18">
        <v>33</v>
      </c>
      <c r="R24" s="18">
        <v>2.8000000000000001E-2</v>
      </c>
      <c r="S24" s="18">
        <v>98.8</v>
      </c>
      <c r="T24" s="40">
        <v>2.23</v>
      </c>
      <c r="U24" s="42" t="s">
        <v>50</v>
      </c>
      <c r="V24" s="18">
        <v>6.4</v>
      </c>
      <c r="W24" s="18">
        <v>7.88</v>
      </c>
      <c r="X24" s="47"/>
    </row>
    <row r="25" spans="1:24" x14ac:dyDescent="0.3">
      <c r="A25" s="140"/>
      <c r="B25" s="73" t="s">
        <v>123</v>
      </c>
      <c r="C25" s="18">
        <v>0.5</v>
      </c>
      <c r="D25" s="18" t="s">
        <v>79</v>
      </c>
      <c r="E25" s="18">
        <v>7.6</v>
      </c>
      <c r="F25" s="18" t="s">
        <v>104</v>
      </c>
      <c r="G25" s="45" t="s">
        <v>109</v>
      </c>
      <c r="H25" s="18" t="s">
        <v>82</v>
      </c>
      <c r="I25" s="18" t="s">
        <v>83</v>
      </c>
      <c r="J25" s="43" t="s">
        <v>120</v>
      </c>
      <c r="K25" s="18">
        <v>2.2599999999999998</v>
      </c>
      <c r="L25" s="44">
        <f>ABS(Tabelle1[[#This Row],[EC In 
(mS/cm)]]-AVERAGE($K$22:$K$47))/AVERAGE($K$22:$K$47)</f>
        <v>3.9712371302500243E-2</v>
      </c>
      <c r="M25" s="18">
        <v>0.04</v>
      </c>
      <c r="N25" s="18">
        <v>98</v>
      </c>
      <c r="O25" s="18">
        <v>6.84</v>
      </c>
      <c r="P25" s="18">
        <f>$Z$1*(Tabelle1[[#This Row],[Remov. 
(%)]]/100*Tabelle1[[#This Row],[Ry 
(%)]]/100)/Tabelle1[[#This Row],[SEC 
(kWh/m³)]]</f>
        <v>0.48713450292397659</v>
      </c>
      <c r="Q25" s="18">
        <v>34</v>
      </c>
      <c r="R25" s="18">
        <v>2.7E-2</v>
      </c>
      <c r="S25" s="18">
        <v>98.8</v>
      </c>
      <c r="T25" s="40">
        <v>2.21</v>
      </c>
      <c r="U25" s="42" t="s">
        <v>50</v>
      </c>
      <c r="V25" s="18">
        <v>6.4</v>
      </c>
      <c r="W25" s="18">
        <v>7.86</v>
      </c>
      <c r="X25" s="47"/>
    </row>
    <row r="26" spans="1:24" x14ac:dyDescent="0.3">
      <c r="A26" s="140"/>
      <c r="B26" s="73" t="s">
        <v>124</v>
      </c>
      <c r="C26" s="18">
        <v>0.5</v>
      </c>
      <c r="D26" s="18" t="s">
        <v>79</v>
      </c>
      <c r="E26" s="18">
        <v>7.6</v>
      </c>
      <c r="F26" s="18" t="s">
        <v>104</v>
      </c>
      <c r="G26" s="45" t="s">
        <v>125</v>
      </c>
      <c r="H26" s="18" t="s">
        <v>82</v>
      </c>
      <c r="I26" s="18" t="s">
        <v>83</v>
      </c>
      <c r="J26" s="43" t="s">
        <v>120</v>
      </c>
      <c r="K26" s="18">
        <v>2.2400000000000002</v>
      </c>
      <c r="L26" s="44">
        <f>ABS(Tabelle1[[#This Row],[EC In 
(mS/cm)]]-AVERAGE($K$22:$K$47))/AVERAGE($K$22:$K$47)</f>
        <v>4.8210491910442535E-2</v>
      </c>
      <c r="M26" s="18">
        <v>0.04</v>
      </c>
      <c r="N26" s="18">
        <v>98</v>
      </c>
      <c r="O26" s="18">
        <v>6.85</v>
      </c>
      <c r="P26" s="18">
        <f>$Z$1*(Tabelle1[[#This Row],[Remov. 
(%)]]/100*Tabelle1[[#This Row],[Ry 
(%)]]/100)/Tabelle1[[#This Row],[SEC 
(kWh/m³)]]</f>
        <v>0.45781021897810226</v>
      </c>
      <c r="Q26" s="18">
        <v>32</v>
      </c>
      <c r="R26" s="18">
        <v>2.5999999999999999E-2</v>
      </c>
      <c r="S26" s="18">
        <v>98.8</v>
      </c>
      <c r="T26" s="40">
        <v>2.2000000000000002</v>
      </c>
      <c r="U26" s="42" t="s">
        <v>50</v>
      </c>
      <c r="V26" s="18">
        <v>6.2</v>
      </c>
      <c r="W26" s="18">
        <v>7.87</v>
      </c>
      <c r="X26" s="47"/>
    </row>
    <row r="27" spans="1:24" x14ac:dyDescent="0.3">
      <c r="A27" s="140"/>
      <c r="B27" s="73" t="s">
        <v>126</v>
      </c>
      <c r="C27" s="18">
        <v>0.5</v>
      </c>
      <c r="D27" s="18" t="s">
        <v>79</v>
      </c>
      <c r="E27" s="18">
        <v>7.6</v>
      </c>
      <c r="F27" s="18" t="s">
        <v>104</v>
      </c>
      <c r="G27" s="45" t="s">
        <v>111</v>
      </c>
      <c r="H27" s="18" t="s">
        <v>82</v>
      </c>
      <c r="I27" s="18" t="s">
        <v>83</v>
      </c>
      <c r="J27" s="43" t="s">
        <v>120</v>
      </c>
      <c r="K27" s="18">
        <v>2.25</v>
      </c>
      <c r="L27" s="44">
        <f>ABS(Tabelle1[[#This Row],[EC In 
(mS/cm)]]-AVERAGE($K$22:$K$47))/AVERAGE($K$22:$K$47)</f>
        <v>4.3961431606471389E-2</v>
      </c>
      <c r="M27" s="18">
        <v>0.04</v>
      </c>
      <c r="N27" s="18">
        <v>98</v>
      </c>
      <c r="O27" s="18">
        <v>6.29</v>
      </c>
      <c r="P27" s="18">
        <f>$Z$1*(Tabelle1[[#This Row],[Remov. 
(%)]]/100*Tabelle1[[#This Row],[Ry 
(%)]]/100)/Tabelle1[[#This Row],[SEC 
(kWh/m³)]]</f>
        <v>0.51414944356120817</v>
      </c>
      <c r="Q27" s="18">
        <v>33</v>
      </c>
      <c r="R27" s="18">
        <v>1.9E-2</v>
      </c>
      <c r="S27" s="18">
        <v>98.7</v>
      </c>
      <c r="T27" s="40">
        <v>2.19</v>
      </c>
      <c r="U27" s="42" t="s">
        <v>50</v>
      </c>
      <c r="V27" s="18">
        <v>6.1</v>
      </c>
      <c r="W27" s="18">
        <v>7.96</v>
      </c>
      <c r="X27" s="47"/>
    </row>
    <row r="28" spans="1:24" x14ac:dyDescent="0.3">
      <c r="A28" s="140"/>
      <c r="B28" s="73" t="s">
        <v>127</v>
      </c>
      <c r="C28" s="18">
        <v>0.5</v>
      </c>
      <c r="D28" s="18" t="s">
        <v>79</v>
      </c>
      <c r="E28" s="18">
        <v>7.63</v>
      </c>
      <c r="F28" s="18" t="s">
        <v>104</v>
      </c>
      <c r="G28" s="45" t="s">
        <v>128</v>
      </c>
      <c r="H28" s="18" t="s">
        <v>82</v>
      </c>
      <c r="I28" s="18" t="s">
        <v>83</v>
      </c>
      <c r="J28" s="43" t="s">
        <v>120</v>
      </c>
      <c r="K28" s="18">
        <v>2.2200000000000002</v>
      </c>
      <c r="L28" s="44">
        <f>ABS(Tabelle1[[#This Row],[EC In 
(mS/cm)]]-AVERAGE($K$22:$K$47))/AVERAGE($K$22:$K$47)</f>
        <v>5.6708612518385021E-2</v>
      </c>
      <c r="M28" s="18">
        <v>0.03</v>
      </c>
      <c r="N28" s="18">
        <v>98</v>
      </c>
      <c r="O28" s="18">
        <v>6.25</v>
      </c>
      <c r="P28" s="18">
        <f>$Z$1*(Tabelle1[[#This Row],[Remov. 
(%)]]/100*Tabelle1[[#This Row],[Ry 
(%)]]/100)/Tabelle1[[#This Row],[SEC 
(kWh/m³)]]</f>
        <v>0.50175999999999998</v>
      </c>
      <c r="Q28" s="18">
        <v>32</v>
      </c>
      <c r="R28" s="18">
        <v>1.7999999999999999E-2</v>
      </c>
      <c r="S28" s="18">
        <v>99.2</v>
      </c>
      <c r="T28" s="40">
        <v>2.17</v>
      </c>
      <c r="U28" s="42" t="s">
        <v>50</v>
      </c>
      <c r="V28" s="18">
        <v>6.03</v>
      </c>
      <c r="W28" s="18">
        <v>7.97</v>
      </c>
      <c r="X28" s="47"/>
    </row>
    <row r="29" spans="1:24" x14ac:dyDescent="0.3">
      <c r="A29" s="140"/>
      <c r="B29" s="73" t="s">
        <v>129</v>
      </c>
      <c r="C29" s="18">
        <v>0.5</v>
      </c>
      <c r="D29" s="18" t="s">
        <v>79</v>
      </c>
      <c r="E29" s="18">
        <v>7.67</v>
      </c>
      <c r="F29" s="18" t="s">
        <v>104</v>
      </c>
      <c r="G29" s="45" t="s">
        <v>113</v>
      </c>
      <c r="H29" s="18" t="s">
        <v>82</v>
      </c>
      <c r="I29" s="18" t="s">
        <v>83</v>
      </c>
      <c r="J29" s="43" t="s">
        <v>120</v>
      </c>
      <c r="K29" s="18">
        <v>2.2000000000000002</v>
      </c>
      <c r="L29" s="44">
        <f>ABS(Tabelle1[[#This Row],[EC In 
(mS/cm)]]-AVERAGE($K$22:$K$47))/AVERAGE($K$22:$K$47)</f>
        <v>6.5206733126327507E-2</v>
      </c>
      <c r="M29" s="18">
        <v>0.03</v>
      </c>
      <c r="N29" s="18">
        <v>99</v>
      </c>
      <c r="O29" s="18">
        <v>5.9</v>
      </c>
      <c r="P29" s="18">
        <f>$Z$1*(Tabelle1[[#This Row],[Remov. 
(%)]]/100*Tabelle1[[#This Row],[Ry 
(%)]]/100)/Tabelle1[[#This Row],[SEC 
(kWh/m³)]]</f>
        <v>0.53694915254237285</v>
      </c>
      <c r="Q29" s="18">
        <v>32</v>
      </c>
      <c r="R29" s="18">
        <v>1.7999999999999999E-2</v>
      </c>
      <c r="S29" s="18">
        <v>99.2</v>
      </c>
      <c r="T29" s="40">
        <v>2.16</v>
      </c>
      <c r="U29" s="42" t="s">
        <v>50</v>
      </c>
      <c r="V29" s="18">
        <v>6</v>
      </c>
      <c r="W29" s="18">
        <v>7.98</v>
      </c>
      <c r="X29" s="47"/>
    </row>
    <row r="30" spans="1:24" x14ac:dyDescent="0.3">
      <c r="A30" s="140"/>
      <c r="B30" s="73" t="s">
        <v>130</v>
      </c>
      <c r="C30" s="18">
        <v>0.5</v>
      </c>
      <c r="D30" s="18" t="s">
        <v>79</v>
      </c>
      <c r="E30" s="18">
        <v>7.95</v>
      </c>
      <c r="F30" s="18" t="s">
        <v>104</v>
      </c>
      <c r="G30" s="45" t="s">
        <v>118</v>
      </c>
      <c r="H30" s="18" t="s">
        <v>82</v>
      </c>
      <c r="I30" s="45" t="s">
        <v>131</v>
      </c>
      <c r="J30" s="43" t="s">
        <v>120</v>
      </c>
      <c r="K30" s="18">
        <v>2.4700000000000002</v>
      </c>
      <c r="L30" s="44">
        <f>ABS(Tabelle1[[#This Row],[EC In 
(mS/cm)]]-AVERAGE($K$22:$K$47))/AVERAGE($K$22:$K$47)</f>
        <v>4.9517895080895935E-2</v>
      </c>
      <c r="M30" s="18">
        <v>0.08</v>
      </c>
      <c r="N30" s="18">
        <v>97</v>
      </c>
      <c r="O30" s="18">
        <v>7.71</v>
      </c>
      <c r="P30" s="18">
        <f>$Z$1*(Tabelle1[[#This Row],[Remov. 
(%)]]/100*Tabelle1[[#This Row],[Ry 
(%)]]/100)/Tabelle1[[#This Row],[SEC 
(kWh/m³)]]</f>
        <v>0.42775616083009083</v>
      </c>
      <c r="Q30" s="18">
        <v>34</v>
      </c>
      <c r="R30" s="18">
        <v>3.7999999999999999E-2</v>
      </c>
      <c r="S30" s="18">
        <v>98.5</v>
      </c>
      <c r="T30" s="40">
        <v>2.4</v>
      </c>
      <c r="U30" s="42" t="s">
        <v>50</v>
      </c>
      <c r="V30" s="18">
        <v>6.72</v>
      </c>
      <c r="W30" s="18">
        <v>8.15</v>
      </c>
      <c r="X30" s="47"/>
    </row>
    <row r="31" spans="1:24" x14ac:dyDescent="0.3">
      <c r="A31" s="140"/>
      <c r="B31" s="73" t="s">
        <v>132</v>
      </c>
      <c r="C31" s="18">
        <v>0.5</v>
      </c>
      <c r="D31" s="18" t="s">
        <v>79</v>
      </c>
      <c r="E31" s="18">
        <v>8</v>
      </c>
      <c r="F31" s="18" t="s">
        <v>104</v>
      </c>
      <c r="G31" s="45" t="s">
        <v>81</v>
      </c>
      <c r="H31" s="18" t="s">
        <v>82</v>
      </c>
      <c r="I31" s="18" t="s">
        <v>131</v>
      </c>
      <c r="J31" s="43" t="s">
        <v>120</v>
      </c>
      <c r="K31" s="18">
        <v>2.4</v>
      </c>
      <c r="L31" s="44">
        <f>ABS(Tabelle1[[#This Row],[EC In 
(mS/cm)]]-AVERAGE($K$22:$K$47))/AVERAGE($K$22:$K$47)</f>
        <v>1.9774472953097148E-2</v>
      </c>
      <c r="M31" s="18">
        <v>0.06</v>
      </c>
      <c r="N31" s="18">
        <v>97</v>
      </c>
      <c r="O31" s="18">
        <v>7.5</v>
      </c>
      <c r="P31" s="18">
        <f>$Z$1*(Tabelle1[[#This Row],[Remov. 
(%)]]/100*Tabelle1[[#This Row],[Ry 
(%)]]/100)/Tabelle1[[#This Row],[SEC 
(kWh/m³)]]</f>
        <v>0.42680000000000001</v>
      </c>
      <c r="Q31" s="18">
        <v>33</v>
      </c>
      <c r="R31" s="18">
        <v>3.5999999999999997E-2</v>
      </c>
      <c r="S31" s="18">
        <v>98.5</v>
      </c>
      <c r="T31" s="40">
        <v>2.35</v>
      </c>
      <c r="U31" s="42" t="s">
        <v>50</v>
      </c>
      <c r="V31" s="18">
        <v>6.64</v>
      </c>
      <c r="W31" s="18">
        <v>8.1300000000000008</v>
      </c>
      <c r="X31" s="47"/>
    </row>
    <row r="32" spans="1:24" x14ac:dyDescent="0.3">
      <c r="A32" s="140"/>
      <c r="B32" s="73" t="s">
        <v>133</v>
      </c>
      <c r="C32" s="18">
        <v>0.5</v>
      </c>
      <c r="D32" s="18" t="s">
        <v>79</v>
      </c>
      <c r="E32" s="18">
        <v>8</v>
      </c>
      <c r="F32" s="18" t="s">
        <v>104</v>
      </c>
      <c r="G32" s="45" t="s">
        <v>122</v>
      </c>
      <c r="H32" s="18" t="s">
        <v>82</v>
      </c>
      <c r="I32" s="18" t="s">
        <v>131</v>
      </c>
      <c r="J32" s="43" t="s">
        <v>120</v>
      </c>
      <c r="K32" s="18">
        <v>2.37</v>
      </c>
      <c r="L32" s="44">
        <f>ABS(Tabelle1[[#This Row],[EC In 
(mS/cm)]]-AVERAGE($K$22:$K$47))/AVERAGE($K$22:$K$47)</f>
        <v>7.0272920411835168E-3</v>
      </c>
      <c r="M32" s="18">
        <v>0.06</v>
      </c>
      <c r="N32" s="18">
        <v>97</v>
      </c>
      <c r="O32" s="18">
        <v>7.18</v>
      </c>
      <c r="P32" s="18">
        <f>$Z$1*(Tabelle1[[#This Row],[Remov. 
(%)]]/100*Tabelle1[[#This Row],[Ry 
(%)]]/100)/Tabelle1[[#This Row],[SEC 
(kWh/m³)]]</f>
        <v>0.44582172701949863</v>
      </c>
      <c r="Q32" s="18">
        <v>33</v>
      </c>
      <c r="R32" s="18">
        <v>3.6999999999999998E-2</v>
      </c>
      <c r="S32" s="18">
        <v>98.4</v>
      </c>
      <c r="T32" s="40">
        <v>2.33</v>
      </c>
      <c r="U32" s="42" t="s">
        <v>50</v>
      </c>
      <c r="V32" s="18">
        <v>6.57</v>
      </c>
      <c r="W32" s="18">
        <v>8.15</v>
      </c>
      <c r="X32" s="47"/>
    </row>
    <row r="33" spans="1:24" x14ac:dyDescent="0.3">
      <c r="A33" s="140"/>
      <c r="B33" s="73" t="s">
        <v>134</v>
      </c>
      <c r="C33" s="18">
        <v>0.5</v>
      </c>
      <c r="D33" s="18" t="s">
        <v>79</v>
      </c>
      <c r="E33" s="18">
        <v>8</v>
      </c>
      <c r="F33" s="18" t="s">
        <v>104</v>
      </c>
      <c r="G33" s="45" t="s">
        <v>109</v>
      </c>
      <c r="H33" s="18" t="s">
        <v>82</v>
      </c>
      <c r="I33" s="18" t="s">
        <v>131</v>
      </c>
      <c r="J33" s="43" t="s">
        <v>120</v>
      </c>
      <c r="K33" s="18">
        <v>2.48</v>
      </c>
      <c r="L33" s="44">
        <f>ABS(Tabelle1[[#This Row],[EC In 
(mS/cm)]]-AVERAGE($K$22:$K$47))/AVERAGE($K$22:$K$47)</f>
        <v>5.3766955384867088E-2</v>
      </c>
      <c r="M33" s="18">
        <v>0.06</v>
      </c>
      <c r="N33" s="18">
        <v>98</v>
      </c>
      <c r="O33" s="18">
        <v>6.68</v>
      </c>
      <c r="P33" s="18">
        <f>$Z$1*(Tabelle1[[#This Row],[Remov. 
(%)]]/100*Tabelle1[[#This Row],[Ry 
(%)]]/100)/Tabelle1[[#This Row],[SEC 
(kWh/m³)]]</f>
        <v>0.48413173652694608</v>
      </c>
      <c r="Q33" s="18">
        <v>33</v>
      </c>
      <c r="R33" s="18">
        <v>3.5999999999999997E-2</v>
      </c>
      <c r="S33" s="18">
        <v>98.6</v>
      </c>
      <c r="T33" s="40">
        <v>2.4</v>
      </c>
      <c r="U33" s="42" t="s">
        <v>50</v>
      </c>
      <c r="V33" s="18">
        <v>6.54</v>
      </c>
      <c r="W33" s="18">
        <v>8.15</v>
      </c>
      <c r="X33" s="47"/>
    </row>
    <row r="34" spans="1:24" x14ac:dyDescent="0.3">
      <c r="A34" s="140"/>
      <c r="B34" s="73" t="s">
        <v>135</v>
      </c>
      <c r="C34" s="18">
        <v>0.5</v>
      </c>
      <c r="D34" s="18" t="s">
        <v>79</v>
      </c>
      <c r="E34" s="18">
        <v>8.01</v>
      </c>
      <c r="F34" s="18" t="s">
        <v>104</v>
      </c>
      <c r="G34" s="45" t="s">
        <v>125</v>
      </c>
      <c r="H34" s="18" t="s">
        <v>82</v>
      </c>
      <c r="I34" s="18" t="s">
        <v>131</v>
      </c>
      <c r="J34" s="43" t="s">
        <v>120</v>
      </c>
      <c r="K34" s="18">
        <v>2.4300000000000002</v>
      </c>
      <c r="L34" s="44">
        <f>ABS(Tabelle1[[#This Row],[EC In 
(mS/cm)]]-AVERAGE($K$22:$K$47))/AVERAGE($K$22:$K$47)</f>
        <v>3.252165386501097E-2</v>
      </c>
      <c r="M34" s="18">
        <v>0.06</v>
      </c>
      <c r="N34" s="18">
        <v>98</v>
      </c>
      <c r="O34" s="18">
        <v>6.18</v>
      </c>
      <c r="P34" s="18">
        <f>$Z$1*(Tabelle1[[#This Row],[Remov. 
(%)]]/100*Tabelle1[[#This Row],[Ry 
(%)]]/100)/Tabelle1[[#This Row],[SEC 
(kWh/m³)]]</f>
        <v>0.52330097087378635</v>
      </c>
      <c r="Q34" s="18">
        <v>33</v>
      </c>
      <c r="R34" s="18">
        <v>3.5999999999999997E-2</v>
      </c>
      <c r="S34" s="18">
        <v>98.5</v>
      </c>
      <c r="T34" s="40">
        <v>2.37</v>
      </c>
      <c r="U34" s="42" t="s">
        <v>50</v>
      </c>
      <c r="V34" s="18">
        <v>6.13</v>
      </c>
      <c r="W34" s="18">
        <v>8.14</v>
      </c>
      <c r="X34" s="47"/>
    </row>
    <row r="35" spans="1:24" x14ac:dyDescent="0.3">
      <c r="A35" s="140"/>
      <c r="B35" s="73" t="s">
        <v>136</v>
      </c>
      <c r="C35" s="18">
        <v>0.5</v>
      </c>
      <c r="D35" s="18" t="s">
        <v>79</v>
      </c>
      <c r="E35" s="18">
        <v>8</v>
      </c>
      <c r="F35" s="18" t="s">
        <v>104</v>
      </c>
      <c r="G35" s="45" t="s">
        <v>111</v>
      </c>
      <c r="H35" s="18" t="s">
        <v>82</v>
      </c>
      <c r="I35" s="18" t="s">
        <v>131</v>
      </c>
      <c r="J35" s="43" t="s">
        <v>120</v>
      </c>
      <c r="K35" s="18">
        <v>2.46</v>
      </c>
      <c r="L35" s="44">
        <f>ABS(Tabelle1[[#This Row],[EC In 
(mS/cm)]]-AVERAGE($K$22:$K$47))/AVERAGE($K$22:$K$47)</f>
        <v>4.5268834776924602E-2</v>
      </c>
      <c r="M35" s="18">
        <v>0.06</v>
      </c>
      <c r="N35" s="18">
        <v>97</v>
      </c>
      <c r="O35" s="18">
        <v>5.42</v>
      </c>
      <c r="P35" s="18">
        <f>$Z$1*(Tabelle1[[#This Row],[Remov. 
(%)]]/100*Tabelle1[[#This Row],[Ry 
(%)]]/100)/Tabelle1[[#This Row],[SEC 
(kWh/m³)]]</f>
        <v>0.59059040590405909</v>
      </c>
      <c r="Q35" s="18">
        <v>33</v>
      </c>
      <c r="R35" s="18">
        <v>3.7999999999999999E-2</v>
      </c>
      <c r="S35" s="18">
        <v>98.4</v>
      </c>
      <c r="T35" s="40">
        <v>2.39</v>
      </c>
      <c r="U35" s="42" t="s">
        <v>50</v>
      </c>
      <c r="V35" s="18">
        <v>6.55</v>
      </c>
      <c r="W35" s="18">
        <v>8.16</v>
      </c>
      <c r="X35" s="67"/>
    </row>
    <row r="36" spans="1:24" x14ac:dyDescent="0.3">
      <c r="A36" s="140"/>
      <c r="B36" s="73" t="s">
        <v>137</v>
      </c>
      <c r="C36" s="18">
        <v>0.5</v>
      </c>
      <c r="D36" s="18" t="s">
        <v>79</v>
      </c>
      <c r="E36" s="18">
        <v>8.0299999999999994</v>
      </c>
      <c r="F36" s="18" t="s">
        <v>104</v>
      </c>
      <c r="G36" s="45" t="s">
        <v>128</v>
      </c>
      <c r="H36" s="18" t="s">
        <v>82</v>
      </c>
      <c r="I36" s="18" t="s">
        <v>131</v>
      </c>
      <c r="J36" s="43" t="s">
        <v>120</v>
      </c>
      <c r="K36" s="18">
        <v>2.44</v>
      </c>
      <c r="L36" s="44">
        <f>ABS(Tabelle1[[#This Row],[EC In 
(mS/cm)]]-AVERAGE($K$22:$K$47))/AVERAGE($K$22:$K$47)</f>
        <v>3.6770714168982116E-2</v>
      </c>
      <c r="M36" s="18">
        <v>0.08</v>
      </c>
      <c r="N36" s="18">
        <v>97</v>
      </c>
      <c r="O36" s="18">
        <v>5.34</v>
      </c>
      <c r="P36" s="18">
        <f>$Z$1*(Tabelle1[[#This Row],[Remov. 
(%)]]/100*Tabelle1[[#This Row],[Ry 
(%)]]/100)/Tabelle1[[#This Row],[SEC 
(kWh/m³)]]</f>
        <v>0.58127340823970042</v>
      </c>
      <c r="Q36" s="18">
        <v>32</v>
      </c>
      <c r="R36" s="18">
        <v>4.7E-2</v>
      </c>
      <c r="S36" s="18">
        <v>98.1</v>
      </c>
      <c r="T36" s="40">
        <v>2.38</v>
      </c>
      <c r="U36" s="42" t="s">
        <v>50</v>
      </c>
      <c r="V36" s="18">
        <v>6.64</v>
      </c>
      <c r="W36" s="18">
        <v>8.16</v>
      </c>
      <c r="X36" s="67"/>
    </row>
    <row r="37" spans="1:24" x14ac:dyDescent="0.3">
      <c r="A37" s="140"/>
      <c r="B37" s="73" t="s">
        <v>138</v>
      </c>
      <c r="C37" s="18">
        <v>0.5</v>
      </c>
      <c r="D37" s="18" t="s">
        <v>79</v>
      </c>
      <c r="E37" s="18">
        <v>8.0500000000000007</v>
      </c>
      <c r="F37" s="18" t="s">
        <v>104</v>
      </c>
      <c r="G37" s="45" t="s">
        <v>113</v>
      </c>
      <c r="H37" s="18" t="s">
        <v>82</v>
      </c>
      <c r="I37" s="18" t="s">
        <v>131</v>
      </c>
      <c r="J37" s="43" t="s">
        <v>120</v>
      </c>
      <c r="K37" s="18">
        <v>2.4300000000000002</v>
      </c>
      <c r="L37" s="44">
        <f>ABS(Tabelle1[[#This Row],[EC In 
(mS/cm)]]-AVERAGE($K$22:$K$47))/AVERAGE($K$22:$K$47)</f>
        <v>3.252165386501097E-2</v>
      </c>
      <c r="M37" s="18">
        <v>0.11</v>
      </c>
      <c r="N37" s="18">
        <v>95</v>
      </c>
      <c r="O37" s="18">
        <v>4.96</v>
      </c>
      <c r="P37" s="18">
        <f>$Z$1*(Tabelle1[[#This Row],[Remov. 
(%)]]/100*Tabelle1[[#This Row],[Ry 
(%)]]/100)/Tabelle1[[#This Row],[SEC 
(kWh/m³)]]</f>
        <v>0.61290322580645162</v>
      </c>
      <c r="Q37" s="18">
        <v>32</v>
      </c>
      <c r="R37" s="18">
        <v>7.0000000000000007E-2</v>
      </c>
      <c r="S37" s="18">
        <v>97.1</v>
      </c>
      <c r="T37" s="40">
        <v>2.38</v>
      </c>
      <c r="U37" s="42" t="s">
        <v>50</v>
      </c>
      <c r="V37" s="18">
        <v>6.86</v>
      </c>
      <c r="W37" s="18">
        <v>8.16</v>
      </c>
      <c r="X37" s="67"/>
    </row>
    <row r="38" spans="1:24" x14ac:dyDescent="0.3">
      <c r="A38" s="140"/>
      <c r="B38" s="73" t="s">
        <v>139</v>
      </c>
      <c r="C38" s="18">
        <v>0.5</v>
      </c>
      <c r="D38" s="18" t="s">
        <v>79</v>
      </c>
      <c r="E38" s="18">
        <v>7.84</v>
      </c>
      <c r="F38" s="18" t="s">
        <v>104</v>
      </c>
      <c r="G38" s="45" t="s">
        <v>118</v>
      </c>
      <c r="H38" s="18" t="s">
        <v>82</v>
      </c>
      <c r="I38" s="45" t="s">
        <v>140</v>
      </c>
      <c r="J38" s="43" t="s">
        <v>120</v>
      </c>
      <c r="K38" s="18">
        <v>2.37</v>
      </c>
      <c r="L38" s="44">
        <f>ABS(Tabelle1[[#This Row],[EC In 
(mS/cm)]]-AVERAGE($K$22:$K$47))/AVERAGE($K$22:$K$47)</f>
        <v>7.0272920411835168E-3</v>
      </c>
      <c r="M38" s="18">
        <v>7.0000000000000007E-2</v>
      </c>
      <c r="N38" s="18">
        <v>97</v>
      </c>
      <c r="O38" s="18">
        <v>5.27</v>
      </c>
      <c r="P38" s="18">
        <f>$Z$1*(Tabelle1[[#This Row],[Remov. 
(%)]]/100*Tabelle1[[#This Row],[Ry 
(%)]]/100)/Tabelle1[[#This Row],[SEC 
(kWh/m³)]]</f>
        <v>0.62580645161290327</v>
      </c>
      <c r="Q38" s="18">
        <v>34</v>
      </c>
      <c r="R38" s="18">
        <v>2.9000000000000001E-2</v>
      </c>
      <c r="S38" s="18">
        <v>98.8</v>
      </c>
      <c r="T38" s="40">
        <v>2.2999999999999998</v>
      </c>
      <c r="U38" s="42" t="s">
        <v>50</v>
      </c>
      <c r="V38" s="18">
        <v>6.45</v>
      </c>
      <c r="W38" s="18">
        <v>7.9</v>
      </c>
      <c r="X38" s="47"/>
    </row>
    <row r="39" spans="1:24" x14ac:dyDescent="0.3">
      <c r="A39" s="140"/>
      <c r="B39" s="73" t="s">
        <v>141</v>
      </c>
      <c r="C39" s="18">
        <v>0.5</v>
      </c>
      <c r="D39" s="18" t="s">
        <v>79</v>
      </c>
      <c r="E39" s="18">
        <v>7.8</v>
      </c>
      <c r="F39" s="18" t="s">
        <v>104</v>
      </c>
      <c r="G39" s="45" t="s">
        <v>81</v>
      </c>
      <c r="H39" s="18" t="s">
        <v>82</v>
      </c>
      <c r="I39" s="18" t="s">
        <v>140</v>
      </c>
      <c r="J39" s="43" t="s">
        <v>120</v>
      </c>
      <c r="K39" s="18">
        <v>2.29</v>
      </c>
      <c r="L39" s="44">
        <f>ABS(Tabelle1[[#This Row],[EC In 
(mS/cm)]]-AVERAGE($K$22:$K$47))/AVERAGE($K$22:$K$47)</f>
        <v>2.6965190390586421E-2</v>
      </c>
      <c r="M39" s="18">
        <v>0.06</v>
      </c>
      <c r="N39" s="18">
        <v>97</v>
      </c>
      <c r="O39" s="18">
        <v>4.71</v>
      </c>
      <c r="P39" s="18">
        <f>$Z$1*(Tabelle1[[#This Row],[Remov. 
(%)]]/100*Tabelle1[[#This Row],[Ry 
(%)]]/100)/Tabelle1[[#This Row],[SEC 
(kWh/m³)]]</f>
        <v>0.70021231422505315</v>
      </c>
      <c r="Q39" s="18">
        <v>34</v>
      </c>
      <c r="R39" s="18">
        <v>2.7E-2</v>
      </c>
      <c r="S39" s="18">
        <v>98.8</v>
      </c>
      <c r="T39" s="40">
        <v>2.23</v>
      </c>
      <c r="U39" s="42" t="s">
        <v>50</v>
      </c>
      <c r="V39" s="18">
        <v>6.6</v>
      </c>
      <c r="W39" s="18">
        <v>7.99</v>
      </c>
      <c r="X39" s="47"/>
    </row>
    <row r="40" spans="1:24" x14ac:dyDescent="0.3">
      <c r="A40" s="140"/>
      <c r="B40" s="73" t="s">
        <v>142</v>
      </c>
      <c r="C40" s="18">
        <v>0.5</v>
      </c>
      <c r="D40" s="18" t="s">
        <v>79</v>
      </c>
      <c r="E40" s="18">
        <v>7.85</v>
      </c>
      <c r="F40" s="18" t="s">
        <v>104</v>
      </c>
      <c r="G40" s="45" t="s">
        <v>122</v>
      </c>
      <c r="H40" s="18" t="s">
        <v>82</v>
      </c>
      <c r="I40" s="18" t="s">
        <v>140</v>
      </c>
      <c r="J40" s="43" t="s">
        <v>120</v>
      </c>
      <c r="K40" s="18">
        <v>2.37</v>
      </c>
      <c r="L40" s="44">
        <f>ABS(Tabelle1[[#This Row],[EC In 
(mS/cm)]]-AVERAGE($K$22:$K$47))/AVERAGE($K$22:$K$47)</f>
        <v>7.0272920411835168E-3</v>
      </c>
      <c r="M40" s="18">
        <v>7.0000000000000007E-2</v>
      </c>
      <c r="N40" s="18">
        <v>97</v>
      </c>
      <c r="O40" s="18">
        <v>4.7</v>
      </c>
      <c r="P40" s="18">
        <f>$Z$1*(Tabelle1[[#This Row],[Remov. 
(%)]]/100*Tabelle1[[#This Row],[Ry 
(%)]]/100)/Tabelle1[[#This Row],[SEC 
(kWh/m³)]]</f>
        <v>0.68106382978723401</v>
      </c>
      <c r="Q40" s="18">
        <v>33</v>
      </c>
      <c r="R40" s="18">
        <v>2.7E-2</v>
      </c>
      <c r="S40" s="18">
        <v>98.9</v>
      </c>
      <c r="T40" s="40">
        <v>2.31</v>
      </c>
      <c r="U40" s="42" t="s">
        <v>50</v>
      </c>
      <c r="V40" s="18">
        <v>6.55</v>
      </c>
      <c r="W40" s="18">
        <v>7.99</v>
      </c>
      <c r="X40" s="47"/>
    </row>
    <row r="41" spans="1:24" x14ac:dyDescent="0.3">
      <c r="A41" s="140"/>
      <c r="B41" s="73" t="s">
        <v>143</v>
      </c>
      <c r="C41" s="18">
        <v>0.5</v>
      </c>
      <c r="D41" s="18" t="s">
        <v>79</v>
      </c>
      <c r="E41" s="18">
        <v>7.84</v>
      </c>
      <c r="F41" s="18" t="s">
        <v>104</v>
      </c>
      <c r="G41" s="45" t="s">
        <v>109</v>
      </c>
      <c r="H41" s="18" t="s">
        <v>82</v>
      </c>
      <c r="I41" s="18" t="s">
        <v>140</v>
      </c>
      <c r="J41" s="43" t="s">
        <v>120</v>
      </c>
      <c r="K41" s="18">
        <v>2.33</v>
      </c>
      <c r="L41" s="44">
        <f>ABS(Tabelle1[[#This Row],[EC In 
(mS/cm)]]-AVERAGE($K$22:$K$47))/AVERAGE($K$22:$K$47)</f>
        <v>9.9689491747014525E-3</v>
      </c>
      <c r="M41" s="18">
        <v>7.0000000000000007E-2</v>
      </c>
      <c r="N41" s="18">
        <v>97</v>
      </c>
      <c r="O41" s="18">
        <v>4.1399999999999997</v>
      </c>
      <c r="P41" s="18">
        <f>$Z$1*(Tabelle1[[#This Row],[Remov. 
(%)]]/100*Tabelle1[[#This Row],[Ry 
(%)]]/100)/Tabelle1[[#This Row],[SEC 
(kWh/m³)]]</f>
        <v>0.77318840579710157</v>
      </c>
      <c r="Q41" s="18">
        <v>33</v>
      </c>
      <c r="R41" s="18">
        <v>3.6999999999999998E-2</v>
      </c>
      <c r="S41" s="18">
        <v>98.4</v>
      </c>
      <c r="T41" s="40">
        <v>2.2799999999999998</v>
      </c>
      <c r="U41" s="42" t="s">
        <v>50</v>
      </c>
      <c r="V41" s="18">
        <v>6.6</v>
      </c>
      <c r="W41" s="18">
        <v>7.95</v>
      </c>
      <c r="X41" s="47"/>
    </row>
    <row r="42" spans="1:24" x14ac:dyDescent="0.3">
      <c r="A42" s="140"/>
      <c r="B42" s="73" t="s">
        <v>144</v>
      </c>
      <c r="C42" s="18">
        <v>0.5</v>
      </c>
      <c r="D42" s="18" t="s">
        <v>79</v>
      </c>
      <c r="E42" s="18">
        <v>7.86</v>
      </c>
      <c r="F42" s="18" t="s">
        <v>104</v>
      </c>
      <c r="G42" s="45" t="s">
        <v>125</v>
      </c>
      <c r="H42" s="18" t="s">
        <v>82</v>
      </c>
      <c r="I42" s="18" t="s">
        <v>140</v>
      </c>
      <c r="J42" s="43" t="s">
        <v>120</v>
      </c>
      <c r="K42" s="18">
        <v>2.33</v>
      </c>
      <c r="L42" s="44">
        <f>ABS(Tabelle1[[#This Row],[EC In 
(mS/cm)]]-AVERAGE($K$22:$K$47))/AVERAGE($K$22:$K$47)</f>
        <v>9.9689491747014525E-3</v>
      </c>
      <c r="M42" s="18">
        <v>0.1</v>
      </c>
      <c r="N42" s="18">
        <v>95</v>
      </c>
      <c r="O42" s="18">
        <v>3.61</v>
      </c>
      <c r="P42" s="18">
        <f>$Z$1*(Tabelle1[[#This Row],[Remov. 
(%)]]/100*Tabelle1[[#This Row],[Ry 
(%)]]/100)/Tabelle1[[#This Row],[SEC 
(kWh/m³)]]</f>
        <v>0.86842105263157887</v>
      </c>
      <c r="Q42" s="18">
        <v>33</v>
      </c>
      <c r="R42" s="18">
        <v>5.8999999999999997E-2</v>
      </c>
      <c r="S42" s="18">
        <v>97.5</v>
      </c>
      <c r="T42" s="40">
        <v>2.2599999999999998</v>
      </c>
      <c r="U42" s="42" t="s">
        <v>50</v>
      </c>
      <c r="V42" s="18">
        <v>6.79</v>
      </c>
      <c r="W42" s="18">
        <v>7.99</v>
      </c>
      <c r="X42" s="47"/>
    </row>
    <row r="43" spans="1:24" x14ac:dyDescent="0.3">
      <c r="A43" s="140"/>
      <c r="B43" s="73" t="s">
        <v>145</v>
      </c>
      <c r="C43" s="18">
        <v>0.5</v>
      </c>
      <c r="D43" s="18" t="s">
        <v>79</v>
      </c>
      <c r="E43" s="18">
        <v>7.89</v>
      </c>
      <c r="F43" s="18" t="s">
        <v>104</v>
      </c>
      <c r="G43" s="45" t="s">
        <v>111</v>
      </c>
      <c r="H43" s="18" t="s">
        <v>82</v>
      </c>
      <c r="I43" s="18" t="s">
        <v>140</v>
      </c>
      <c r="J43" s="43" t="s">
        <v>99</v>
      </c>
      <c r="K43" s="18">
        <v>2.3199999999999998</v>
      </c>
      <c r="L43" s="44">
        <f>ABS(Tabelle1[[#This Row],[EC In 
(mS/cm)]]-AVERAGE($K$22:$K$47))/AVERAGE($K$22:$K$47)</f>
        <v>1.4218009478672787E-2</v>
      </c>
      <c r="M43" s="18">
        <v>0.17</v>
      </c>
      <c r="N43" s="18">
        <v>92</v>
      </c>
      <c r="O43" s="18">
        <v>3.29</v>
      </c>
      <c r="P43" s="18">
        <f>$Z$1*(Tabelle1[[#This Row],[Remov. 
(%)]]/100*Tabelle1[[#This Row],[Ry 
(%)]]/100)/Tabelle1[[#This Row],[SEC 
(kWh/m³)]]</f>
        <v>0.92279635258358672</v>
      </c>
      <c r="Q43" s="18">
        <v>33</v>
      </c>
      <c r="R43" s="18">
        <v>0.122</v>
      </c>
      <c r="S43" s="18">
        <v>94.7</v>
      </c>
      <c r="T43" s="40">
        <v>2.27</v>
      </c>
      <c r="U43" s="42" t="s">
        <v>50</v>
      </c>
      <c r="V43" s="18">
        <v>7.02</v>
      </c>
      <c r="W43" s="18">
        <v>8.02</v>
      </c>
      <c r="X43" s="65" t="s">
        <v>157</v>
      </c>
    </row>
    <row r="44" spans="1:24" x14ac:dyDescent="0.3">
      <c r="A44" s="140"/>
      <c r="B44" s="73" t="s">
        <v>159</v>
      </c>
      <c r="C44" s="18">
        <v>0.5</v>
      </c>
      <c r="D44" s="18" t="s">
        <v>79</v>
      </c>
      <c r="E44" s="18">
        <v>7.75</v>
      </c>
      <c r="F44" s="18" t="s">
        <v>104</v>
      </c>
      <c r="G44" s="45" t="s">
        <v>111</v>
      </c>
      <c r="H44" s="18" t="s">
        <v>82</v>
      </c>
      <c r="I44" s="18" t="s">
        <v>140</v>
      </c>
      <c r="J44" s="43" t="s">
        <v>99</v>
      </c>
      <c r="K44" s="18">
        <v>2.48</v>
      </c>
      <c r="L44" s="44"/>
      <c r="M44" s="18">
        <v>0.22</v>
      </c>
      <c r="N44" s="18">
        <v>91</v>
      </c>
      <c r="O44" s="18">
        <v>3.33</v>
      </c>
      <c r="P44" s="18">
        <f>$Z$1*(Tabelle1[[#This Row],[Remov. 
(%)]]/100*Tabelle1[[#This Row],[Ry 
(%)]]/100)/Tabelle1[[#This Row],[SEC 
(kWh/m³)]]</f>
        <v>0.92912912912912915</v>
      </c>
      <c r="Q44" s="18">
        <v>34</v>
      </c>
      <c r="R44" s="18">
        <v>0.16200000000000001</v>
      </c>
      <c r="S44" s="18">
        <v>93.5</v>
      </c>
      <c r="T44" s="40">
        <v>2.42</v>
      </c>
      <c r="U44" s="42" t="s">
        <v>50</v>
      </c>
      <c r="V44" s="18">
        <v>7.03</v>
      </c>
      <c r="W44" s="18">
        <v>7.85</v>
      </c>
      <c r="X44" s="65" t="s">
        <v>158</v>
      </c>
    </row>
    <row r="45" spans="1:24" x14ac:dyDescent="0.3">
      <c r="A45" s="140"/>
      <c r="B45" s="73" t="s">
        <v>146</v>
      </c>
      <c r="C45" s="18">
        <v>0.5</v>
      </c>
      <c r="D45" s="18" t="s">
        <v>79</v>
      </c>
      <c r="E45" s="18">
        <v>7.89</v>
      </c>
      <c r="F45" s="18" t="s">
        <v>104</v>
      </c>
      <c r="G45" s="45" t="s">
        <v>128</v>
      </c>
      <c r="H45" s="18" t="s">
        <v>82</v>
      </c>
      <c r="I45" s="18" t="s">
        <v>140</v>
      </c>
      <c r="J45" s="43" t="s">
        <v>99</v>
      </c>
      <c r="K45" s="18">
        <v>2.2999999999999998</v>
      </c>
      <c r="L45" s="44">
        <f>ABS(Tabelle1[[#This Row],[EC In 
(mS/cm)]]-AVERAGE($K$22:$K$47))/AVERAGE($K$22:$K$47)</f>
        <v>2.2716130086615272E-2</v>
      </c>
      <c r="M45" s="18">
        <v>0.24</v>
      </c>
      <c r="N45" s="18">
        <v>90</v>
      </c>
      <c r="O45" s="18">
        <v>2.89</v>
      </c>
      <c r="P45" s="18">
        <f>$Z$1*(Tabelle1[[#This Row],[Remov. 
(%)]]/100*Tabelle1[[#This Row],[Ry 
(%)]]/100)/Tabelle1[[#This Row],[SEC 
(kWh/m³)]]</f>
        <v>1.027681660899654</v>
      </c>
      <c r="Q45" s="18">
        <v>33</v>
      </c>
      <c r="R45" s="18">
        <v>0.151</v>
      </c>
      <c r="S45" s="18">
        <v>93.4</v>
      </c>
      <c r="T45" s="40">
        <v>2.2599999999999998</v>
      </c>
      <c r="U45" s="42" t="s">
        <v>50</v>
      </c>
      <c r="V45" s="18">
        <v>7.16</v>
      </c>
      <c r="W45" s="18">
        <v>8.0500000000000007</v>
      </c>
      <c r="X45" s="65" t="s">
        <v>158</v>
      </c>
    </row>
    <row r="46" spans="1:24" x14ac:dyDescent="0.3">
      <c r="A46" s="140"/>
      <c r="B46" s="73" t="s">
        <v>160</v>
      </c>
      <c r="C46" s="18">
        <v>0.5</v>
      </c>
      <c r="D46" s="18" t="s">
        <v>79</v>
      </c>
      <c r="E46" s="18">
        <v>7.8</v>
      </c>
      <c r="F46" s="18" t="s">
        <v>104</v>
      </c>
      <c r="G46" s="45" t="s">
        <v>128</v>
      </c>
      <c r="H46" s="18" t="s">
        <v>82</v>
      </c>
      <c r="I46" s="18" t="s">
        <v>140</v>
      </c>
      <c r="J46" s="43" t="s">
        <v>99</v>
      </c>
      <c r="K46" s="18">
        <v>2.4300000000000002</v>
      </c>
      <c r="L46" s="44"/>
      <c r="M46" s="18">
        <v>0.28000000000000003</v>
      </c>
      <c r="N46" s="18">
        <v>89</v>
      </c>
      <c r="O46" s="18">
        <v>3.03</v>
      </c>
      <c r="P46" s="18">
        <f>$Z$1*(Tabelle1[[#This Row],[Remov. 
(%)]]/100*Tabelle1[[#This Row],[Ry 
(%)]]/100)/Tabelle1[[#This Row],[SEC 
(kWh/m³)]]</f>
        <v>0.9693069306930695</v>
      </c>
      <c r="Q46" s="18">
        <v>33</v>
      </c>
      <c r="R46" s="18">
        <v>0.17399999999999999</v>
      </c>
      <c r="S46" s="18">
        <v>92.8</v>
      </c>
      <c r="T46" s="40">
        <v>2.36</v>
      </c>
      <c r="U46" s="42" t="s">
        <v>50</v>
      </c>
      <c r="V46" s="18">
        <v>7.1</v>
      </c>
      <c r="W46" s="18">
        <v>7.9</v>
      </c>
      <c r="X46" s="65" t="s">
        <v>158</v>
      </c>
    </row>
    <row r="47" spans="1:24" x14ac:dyDescent="0.3">
      <c r="A47" s="140"/>
      <c r="B47" s="73" t="s">
        <v>147</v>
      </c>
      <c r="C47" s="18">
        <v>0.5</v>
      </c>
      <c r="D47" s="18" t="s">
        <v>79</v>
      </c>
      <c r="E47" s="18">
        <v>7.8</v>
      </c>
      <c r="F47" s="18" t="s">
        <v>104</v>
      </c>
      <c r="G47" s="45" t="s">
        <v>113</v>
      </c>
      <c r="H47" s="18" t="s">
        <v>82</v>
      </c>
      <c r="I47" s="18" t="s">
        <v>140</v>
      </c>
      <c r="J47" s="43" t="s">
        <v>99</v>
      </c>
      <c r="K47" s="18">
        <v>2.3199999999999998</v>
      </c>
      <c r="L47" s="44">
        <f>ABS(Tabelle1[[#This Row],[EC In 
(mS/cm)]]-AVERAGE($K$22:$K$47))/AVERAGE($K$22:$K$47)</f>
        <v>1.4218009478672787E-2</v>
      </c>
      <c r="M47" s="18">
        <v>0.24</v>
      </c>
      <c r="N47" s="18">
        <v>91</v>
      </c>
      <c r="O47" s="18">
        <v>2.98</v>
      </c>
      <c r="P47" s="18">
        <f>$Z$1*(Tabelle1[[#This Row],[Remov. 
(%)]]/100*Tabelle1[[#This Row],[Ry 
(%)]]/100)/Tabelle1[[#This Row],[SEC 
(kWh/m³)]]</f>
        <v>1.0382550335570471</v>
      </c>
      <c r="Q47" s="18">
        <v>34</v>
      </c>
      <c r="R47" s="18">
        <v>3.7999999999999999E-2</v>
      </c>
      <c r="S47" s="18">
        <v>98.4</v>
      </c>
      <c r="T47" s="40">
        <v>2.25</v>
      </c>
      <c r="U47" s="42" t="s">
        <v>50</v>
      </c>
      <c r="V47" s="18">
        <v>7</v>
      </c>
      <c r="W47" s="18">
        <v>7.95</v>
      </c>
      <c r="X47" s="65" t="s">
        <v>157</v>
      </c>
    </row>
    <row r="48" spans="1:24" ht="15" thickBot="1" x14ac:dyDescent="0.35">
      <c r="A48" s="141"/>
      <c r="B48" s="74" t="s">
        <v>161</v>
      </c>
      <c r="C48" s="51">
        <v>0.5</v>
      </c>
      <c r="D48" s="51" t="s">
        <v>79</v>
      </c>
      <c r="E48" s="51">
        <v>7.82</v>
      </c>
      <c r="F48" s="51" t="s">
        <v>104</v>
      </c>
      <c r="G48" s="52" t="s">
        <v>113</v>
      </c>
      <c r="H48" s="51" t="s">
        <v>82</v>
      </c>
      <c r="I48" s="51" t="s">
        <v>140</v>
      </c>
      <c r="J48" s="60" t="s">
        <v>99</v>
      </c>
      <c r="K48" s="51">
        <v>2.39</v>
      </c>
      <c r="L48" s="54"/>
      <c r="M48" s="51">
        <v>0.36</v>
      </c>
      <c r="N48" s="51">
        <v>86</v>
      </c>
      <c r="O48" s="51">
        <v>2.94</v>
      </c>
      <c r="P48" s="51">
        <f>$Z$1*(Tabelle1[[#This Row],[Remov. 
(%)]]/100*Tabelle1[[#This Row],[Ry 
(%)]]/100)/Tabelle1[[#This Row],[SEC 
(kWh/m³)]]</f>
        <v>0.99455782312925167</v>
      </c>
      <c r="Q48" s="51">
        <v>34</v>
      </c>
      <c r="R48" s="51">
        <v>0.26300000000000001</v>
      </c>
      <c r="S48" s="51">
        <v>89</v>
      </c>
      <c r="T48" s="50">
        <v>2.3199999999999998</v>
      </c>
      <c r="U48" s="53" t="s">
        <v>50</v>
      </c>
      <c r="V48" s="51">
        <v>7.2</v>
      </c>
      <c r="W48" s="51">
        <v>7.96</v>
      </c>
      <c r="X48" s="66" t="s">
        <v>157</v>
      </c>
    </row>
    <row r="49" spans="1:24" ht="15" customHeight="1" x14ac:dyDescent="0.3">
      <c r="A49" s="142" t="s">
        <v>167</v>
      </c>
      <c r="B49" s="72" t="s">
        <v>162</v>
      </c>
      <c r="C49" s="34">
        <v>0.25</v>
      </c>
      <c r="D49" s="18" t="s">
        <v>79</v>
      </c>
      <c r="E49" s="69">
        <v>7.89</v>
      </c>
      <c r="F49" s="18" t="s">
        <v>104</v>
      </c>
      <c r="G49" s="45" t="s">
        <v>113</v>
      </c>
      <c r="H49" s="18" t="s">
        <v>82</v>
      </c>
      <c r="I49" s="42" t="s">
        <v>83</v>
      </c>
      <c r="J49" s="34" t="s">
        <v>120</v>
      </c>
      <c r="K49" s="40">
        <v>1.43</v>
      </c>
      <c r="L49" s="75"/>
      <c r="M49" s="18">
        <v>0.02</v>
      </c>
      <c r="N49" s="18">
        <v>98</v>
      </c>
      <c r="O49" s="18">
        <v>4.9800000000000004</v>
      </c>
      <c r="P49" s="18">
        <f>$Z$1*(Tabelle1[[#This Row],[Remov. 
(%)]]/100*Tabelle1[[#This Row],[Ry 
(%)]]/100)/Tabelle1[[#This Row],[SEC 
(kWh/m³)]]</f>
        <v>0.64939759036144562</v>
      </c>
      <c r="Q49" s="18">
        <v>33</v>
      </c>
      <c r="R49" s="18">
        <v>1.7999999999999999E-2</v>
      </c>
      <c r="S49" s="18">
        <v>98.7</v>
      </c>
      <c r="T49" s="34">
        <v>1.375</v>
      </c>
      <c r="U49" s="36">
        <v>2.8000000000000001E-2</v>
      </c>
      <c r="V49" s="18">
        <v>6.02</v>
      </c>
      <c r="W49" s="42">
        <v>8.15</v>
      </c>
      <c r="X49" s="64" t="s">
        <v>155</v>
      </c>
    </row>
    <row r="50" spans="1:24" x14ac:dyDescent="0.3">
      <c r="A50" s="143"/>
      <c r="B50" s="73" t="s">
        <v>163</v>
      </c>
      <c r="C50" s="40">
        <v>0.75</v>
      </c>
      <c r="D50" s="18" t="s">
        <v>79</v>
      </c>
      <c r="E50" s="70">
        <v>7.83</v>
      </c>
      <c r="F50" s="18" t="s">
        <v>104</v>
      </c>
      <c r="G50" s="18" t="s">
        <v>113</v>
      </c>
      <c r="H50" s="18" t="s">
        <v>82</v>
      </c>
      <c r="I50" s="42" t="s">
        <v>83</v>
      </c>
      <c r="J50" s="43" t="s">
        <v>99</v>
      </c>
      <c r="K50" s="40">
        <v>4.05</v>
      </c>
      <c r="L50" s="18"/>
      <c r="M50" s="18">
        <v>0.9</v>
      </c>
      <c r="N50" s="18">
        <v>79</v>
      </c>
      <c r="O50" s="18">
        <v>6.53</v>
      </c>
      <c r="P50" s="18">
        <f>$Z$1*(Tabelle1[[#This Row],[Remov. 
(%)]]/100*Tabelle1[[#This Row],[Ry 
(%)]]/100)/Tabelle1[[#This Row],[SEC 
(kWh/m³)]]</f>
        <v>0.38713629402756516</v>
      </c>
      <c r="Q50" s="18">
        <v>32</v>
      </c>
      <c r="R50" s="18">
        <v>0.41499999999999998</v>
      </c>
      <c r="S50" s="18">
        <v>89.9</v>
      </c>
      <c r="T50" s="40">
        <v>3.94</v>
      </c>
      <c r="U50" s="42">
        <v>0.97</v>
      </c>
      <c r="V50" s="18">
        <v>6.57</v>
      </c>
      <c r="W50" s="42">
        <v>7.95</v>
      </c>
      <c r="X50" s="65" t="s">
        <v>158</v>
      </c>
    </row>
    <row r="51" spans="1:24" x14ac:dyDescent="0.3">
      <c r="A51" s="143"/>
      <c r="B51" s="73" t="s">
        <v>164</v>
      </c>
      <c r="C51" s="40">
        <v>1</v>
      </c>
      <c r="D51" s="18" t="s">
        <v>79</v>
      </c>
      <c r="E51" s="70">
        <v>7.85</v>
      </c>
      <c r="F51" s="18" t="s">
        <v>104</v>
      </c>
      <c r="G51" s="18" t="s">
        <v>113</v>
      </c>
      <c r="H51" s="18" t="s">
        <v>82</v>
      </c>
      <c r="I51" s="42" t="s">
        <v>83</v>
      </c>
      <c r="J51" s="43" t="s">
        <v>120</v>
      </c>
      <c r="K51" s="40">
        <v>5.36</v>
      </c>
      <c r="L51" s="18"/>
      <c r="M51" s="18">
        <v>2.35</v>
      </c>
      <c r="N51" s="18">
        <v>56</v>
      </c>
      <c r="O51" s="18">
        <v>5.84</v>
      </c>
      <c r="P51" s="18">
        <f>$Z$1*(Tabelle1[[#This Row],[Remov. 
(%)]]/100*Tabelle1[[#This Row],[Ry 
(%)]]/100)/Tabelle1[[#This Row],[SEC 
(kWh/m³)]]</f>
        <v>0.30684931506849322</v>
      </c>
      <c r="Q51" s="18">
        <v>32</v>
      </c>
      <c r="R51" s="18">
        <v>2.14</v>
      </c>
      <c r="S51" s="18">
        <v>60.1</v>
      </c>
      <c r="T51" s="40">
        <v>5.23</v>
      </c>
      <c r="U51" s="42">
        <v>2.52</v>
      </c>
      <c r="V51" s="18">
        <v>7.6</v>
      </c>
      <c r="W51" s="42">
        <v>7.91</v>
      </c>
      <c r="X51" s="7"/>
    </row>
    <row r="52" spans="1:24" x14ac:dyDescent="0.3">
      <c r="A52" s="143"/>
      <c r="B52" s="73" t="s">
        <v>165</v>
      </c>
      <c r="C52" s="40">
        <v>1.25</v>
      </c>
      <c r="D52" s="18" t="s">
        <v>79</v>
      </c>
      <c r="E52" s="70">
        <v>7.86</v>
      </c>
      <c r="F52" s="18" t="s">
        <v>104</v>
      </c>
      <c r="G52" s="18" t="s">
        <v>113</v>
      </c>
      <c r="H52" s="18" t="s">
        <v>82</v>
      </c>
      <c r="I52" s="42" t="s">
        <v>83</v>
      </c>
      <c r="J52" s="43" t="s">
        <v>120</v>
      </c>
      <c r="K52" s="40">
        <v>6.39</v>
      </c>
      <c r="L52" s="18"/>
      <c r="M52" s="18">
        <v>3.35</v>
      </c>
      <c r="N52" s="18">
        <v>48</v>
      </c>
      <c r="O52" s="18">
        <v>5.89</v>
      </c>
      <c r="P52" s="18">
        <f>$Z$1*(Tabelle1[[#This Row],[Remov. 
(%)]]/100*Tabelle1[[#This Row],[Ry 
(%)]]/100)/Tabelle1[[#This Row],[SEC 
(kWh/m³)]]</f>
        <v>0.26893039049235989</v>
      </c>
      <c r="Q52" s="18">
        <v>33</v>
      </c>
      <c r="R52" s="18">
        <v>1.6060000000000001</v>
      </c>
      <c r="S52" s="18">
        <v>74.900000000000006</v>
      </c>
      <c r="T52" s="40">
        <v>6.15</v>
      </c>
      <c r="U52" s="42">
        <v>3.58</v>
      </c>
      <c r="V52" s="18">
        <v>7.2</v>
      </c>
      <c r="W52" s="42">
        <v>7.93</v>
      </c>
      <c r="X52" s="7"/>
    </row>
    <row r="53" spans="1:24" ht="32.4" customHeight="1" thickBot="1" x14ac:dyDescent="0.35">
      <c r="A53" s="144"/>
      <c r="B53" s="74" t="s">
        <v>166</v>
      </c>
      <c r="C53" s="50">
        <v>1.5</v>
      </c>
      <c r="D53" s="51" t="s">
        <v>79</v>
      </c>
      <c r="E53" s="71">
        <v>7.87</v>
      </c>
      <c r="F53" s="51" t="s">
        <v>104</v>
      </c>
      <c r="G53" s="51" t="s">
        <v>113</v>
      </c>
      <c r="H53" s="51" t="s">
        <v>82</v>
      </c>
      <c r="I53" s="53" t="s">
        <v>83</v>
      </c>
      <c r="J53" s="60" t="s">
        <v>120</v>
      </c>
      <c r="K53" s="50">
        <v>7.37</v>
      </c>
      <c r="L53" s="51"/>
      <c r="M53" s="18">
        <v>4.32</v>
      </c>
      <c r="N53" s="18">
        <v>42</v>
      </c>
      <c r="O53" s="18">
        <v>6.24</v>
      </c>
      <c r="P53" s="18">
        <f>$Z$1*(Tabelle1[[#This Row],[Remov. 
(%)]]/100*Tabelle1[[#This Row],[Ry 
(%)]]/100)/Tabelle1[[#This Row],[SEC 
(kWh/m³)]]</f>
        <v>0.22211538461538463</v>
      </c>
      <c r="Q53" s="18">
        <v>33</v>
      </c>
      <c r="R53" s="18">
        <v>3.98</v>
      </c>
      <c r="S53" s="18">
        <v>46</v>
      </c>
      <c r="T53" s="40">
        <v>7.15</v>
      </c>
      <c r="U53" s="42">
        <v>4.62</v>
      </c>
      <c r="V53" s="18">
        <v>7.68</v>
      </c>
      <c r="W53" s="42">
        <v>7.95</v>
      </c>
      <c r="X53" s="10"/>
    </row>
    <row r="54" spans="1:24" ht="28.95" customHeight="1" x14ac:dyDescent="0.3">
      <c r="A54" s="101" t="s">
        <v>170</v>
      </c>
      <c r="B54" s="76" t="s">
        <v>168</v>
      </c>
      <c r="C54" s="40">
        <v>0.5</v>
      </c>
      <c r="D54" s="18" t="s">
        <v>79</v>
      </c>
      <c r="E54" s="70">
        <v>7</v>
      </c>
      <c r="F54" s="18" t="s">
        <v>104</v>
      </c>
      <c r="G54" s="18" t="s">
        <v>113</v>
      </c>
      <c r="H54" s="18" t="s">
        <v>82</v>
      </c>
      <c r="I54" s="42" t="s">
        <v>83</v>
      </c>
      <c r="J54" s="43" t="s">
        <v>120</v>
      </c>
      <c r="K54" s="40">
        <v>2.92</v>
      </c>
      <c r="L54" s="18"/>
      <c r="M54" s="35">
        <v>0.21</v>
      </c>
      <c r="N54" s="35">
        <v>93</v>
      </c>
      <c r="O54" s="35">
        <v>6.34</v>
      </c>
      <c r="P54" s="35">
        <f>$Z$1*(Tabelle1[[#This Row],[Remov. 
(%)]]/100*Tabelle1[[#This Row],[Ry 
(%)]]/100)/Tabelle1[[#This Row],[SEC 
(kWh/m³)]]</f>
        <v>0.4840694006309148</v>
      </c>
      <c r="Q54" s="35">
        <v>33</v>
      </c>
      <c r="R54" s="35">
        <v>8.1000000000000003E-2</v>
      </c>
      <c r="S54" s="35">
        <v>97.2</v>
      </c>
      <c r="T54" s="34">
        <v>2.78</v>
      </c>
      <c r="U54" s="36">
        <v>0.23400000000000001</v>
      </c>
      <c r="V54" s="35">
        <v>6.35</v>
      </c>
      <c r="W54" s="36">
        <v>8.1</v>
      </c>
      <c r="X54" s="7" t="s">
        <v>155</v>
      </c>
    </row>
    <row r="55" spans="1:24" ht="28.95" customHeight="1" thickBot="1" x14ac:dyDescent="0.35">
      <c r="A55" s="102"/>
      <c r="B55" s="77" t="s">
        <v>169</v>
      </c>
      <c r="C55" s="40">
        <v>0.5</v>
      </c>
      <c r="D55" s="18" t="s">
        <v>79</v>
      </c>
      <c r="E55" s="70">
        <v>9</v>
      </c>
      <c r="F55" s="18" t="s">
        <v>104</v>
      </c>
      <c r="G55" s="18" t="s">
        <v>113</v>
      </c>
      <c r="H55" s="18" t="s">
        <v>82</v>
      </c>
      <c r="I55" s="42" t="s">
        <v>83</v>
      </c>
      <c r="J55" s="43" t="s">
        <v>120</v>
      </c>
      <c r="K55" s="40">
        <v>3.8</v>
      </c>
      <c r="L55" s="18"/>
      <c r="M55" s="18">
        <v>1.26</v>
      </c>
      <c r="N55" s="18">
        <v>68</v>
      </c>
      <c r="O55" s="18">
        <v>6.52</v>
      </c>
      <c r="P55" s="18">
        <f>$Z$1*(Tabelle1[[#This Row],[Remov. 
(%)]]/100*Tabelle1[[#This Row],[Ry 
(%)]]/100)/Tabelle1[[#This Row],[SEC 
(kWh/m³)]]</f>
        <v>0.34417177914110436</v>
      </c>
      <c r="Q55" s="18">
        <v>33</v>
      </c>
      <c r="R55" s="18">
        <v>1.0489999999999999</v>
      </c>
      <c r="S55" s="18">
        <v>72.400000000000006</v>
      </c>
      <c r="T55" s="40">
        <v>3.64</v>
      </c>
      <c r="U55" s="42">
        <v>1.345</v>
      </c>
      <c r="V55" s="18">
        <v>8.76</v>
      </c>
      <c r="W55" s="42">
        <v>9.1</v>
      </c>
      <c r="X55" s="7" t="s">
        <v>155</v>
      </c>
    </row>
    <row r="56" spans="1:24" ht="28.95" customHeight="1" thickBot="1" x14ac:dyDescent="0.35">
      <c r="A56" s="84" t="s">
        <v>173</v>
      </c>
      <c r="B56" s="78" t="s">
        <v>171</v>
      </c>
      <c r="C56" s="79">
        <v>0.5</v>
      </c>
      <c r="D56" s="80" t="s">
        <v>172</v>
      </c>
      <c r="E56" s="81">
        <v>7.74</v>
      </c>
      <c r="F56" s="80" t="s">
        <v>104</v>
      </c>
      <c r="G56" s="80" t="s">
        <v>113</v>
      </c>
      <c r="H56" s="80" t="s">
        <v>82</v>
      </c>
      <c r="I56" s="80" t="s">
        <v>83</v>
      </c>
      <c r="J56" s="82" t="s">
        <v>120</v>
      </c>
      <c r="K56" s="80">
        <v>3.03</v>
      </c>
      <c r="L56" s="80"/>
      <c r="M56" s="80">
        <v>0.26</v>
      </c>
      <c r="N56" s="80">
        <v>91</v>
      </c>
      <c r="O56" s="80">
        <v>6.29</v>
      </c>
      <c r="P56" s="18">
        <f>$Z$1*(Tabelle1[[#This Row],[Remov. 
(%)]]/100*Tabelle1[[#This Row],[Ry 
(%)]]/100)/Tabelle1[[#This Row],[SEC 
(kWh/m³)]]</f>
        <v>0.47742448330683629</v>
      </c>
      <c r="Q56" s="80">
        <v>33</v>
      </c>
      <c r="R56" s="80">
        <v>0.113</v>
      </c>
      <c r="S56" s="80">
        <v>96.3</v>
      </c>
      <c r="T56" s="79">
        <v>3.07</v>
      </c>
      <c r="U56" s="81">
        <v>0.29099999999999998</v>
      </c>
      <c r="V56" s="79">
        <v>6.54</v>
      </c>
      <c r="W56" s="81">
        <v>7.78</v>
      </c>
      <c r="X56" s="83" t="s">
        <v>155</v>
      </c>
    </row>
    <row r="57" spans="1:24" ht="28.95" customHeight="1" x14ac:dyDescent="0.3">
      <c r="A57" s="136" t="s">
        <v>177</v>
      </c>
      <c r="B57" s="72" t="s">
        <v>174</v>
      </c>
      <c r="C57" s="34">
        <v>0.5</v>
      </c>
      <c r="D57" s="35" t="s">
        <v>79</v>
      </c>
      <c r="E57" s="36">
        <v>7.97</v>
      </c>
      <c r="F57" s="56" t="s">
        <v>178</v>
      </c>
      <c r="G57" s="35" t="s">
        <v>113</v>
      </c>
      <c r="H57" s="35" t="s">
        <v>82</v>
      </c>
      <c r="I57" s="36" t="s">
        <v>83</v>
      </c>
      <c r="J57" s="37" t="s">
        <v>120</v>
      </c>
      <c r="K57" s="34">
        <v>2.76</v>
      </c>
      <c r="L57" s="35"/>
      <c r="M57" s="35">
        <v>0.22</v>
      </c>
      <c r="N57" s="35">
        <v>92</v>
      </c>
      <c r="O57" s="35">
        <v>4.99</v>
      </c>
      <c r="P57" s="18">
        <f>$Z$1*(Tabelle1[[#This Row],[Remov. 
(%)]]/100*Tabelle1[[#This Row],[Ry 
(%)]]/100)/Tabelle1[[#This Row],[SEC 
(kWh/m³)]]</f>
        <v>0.66372745490981966</v>
      </c>
      <c r="Q57" s="35">
        <v>36</v>
      </c>
      <c r="R57" s="35">
        <v>7.2999999999999995E-2</v>
      </c>
      <c r="S57" s="36">
        <v>97.4</v>
      </c>
      <c r="T57" s="34">
        <v>2.65</v>
      </c>
      <c r="U57" s="36">
        <v>0.24199999999999999</v>
      </c>
      <c r="V57" s="35">
        <v>6.73</v>
      </c>
      <c r="W57" s="35">
        <v>8</v>
      </c>
      <c r="X57" s="64" t="s">
        <v>155</v>
      </c>
    </row>
    <row r="58" spans="1:24" ht="28.95" customHeight="1" x14ac:dyDescent="0.3">
      <c r="A58" s="137"/>
      <c r="B58" s="73" t="s">
        <v>175</v>
      </c>
      <c r="C58" s="40">
        <v>0.5</v>
      </c>
      <c r="D58" s="18" t="s">
        <v>79</v>
      </c>
      <c r="E58" s="42">
        <v>7.96</v>
      </c>
      <c r="F58" s="40" t="s">
        <v>178</v>
      </c>
      <c r="G58" s="68" t="s">
        <v>181</v>
      </c>
      <c r="H58" s="18" t="s">
        <v>82</v>
      </c>
      <c r="I58" s="42" t="s">
        <v>83</v>
      </c>
      <c r="J58" s="43" t="s">
        <v>120</v>
      </c>
      <c r="K58" s="40">
        <v>2.69</v>
      </c>
      <c r="L58" s="18"/>
      <c r="M58" s="18">
        <v>0.28000000000000003</v>
      </c>
      <c r="N58" s="18">
        <v>90</v>
      </c>
      <c r="O58" s="18">
        <v>4.51</v>
      </c>
      <c r="P58" s="18">
        <f>$Z$1*(Tabelle1[[#This Row],[Remov. 
(%)]]/100*Tabelle1[[#This Row],[Ry 
(%)]]/100)/Tabelle1[[#This Row],[SEC 
(kWh/m³)]]</f>
        <v>0.95787139689578726</v>
      </c>
      <c r="Q58" s="18">
        <v>48</v>
      </c>
      <c r="R58" s="18">
        <v>8.2000000000000003E-2</v>
      </c>
      <c r="S58" s="42">
        <v>96.9</v>
      </c>
      <c r="T58" s="40">
        <v>2.58</v>
      </c>
      <c r="U58" s="42">
        <v>0.32500000000000001</v>
      </c>
      <c r="V58" s="18">
        <v>6.84</v>
      </c>
      <c r="W58" s="18">
        <v>8.02</v>
      </c>
      <c r="X58" s="47"/>
    </row>
    <row r="59" spans="1:24" ht="28.95" customHeight="1" x14ac:dyDescent="0.3">
      <c r="A59" s="137"/>
      <c r="B59" s="73" t="s">
        <v>176</v>
      </c>
      <c r="C59" s="40">
        <v>0.5</v>
      </c>
      <c r="D59" s="18" t="s">
        <v>79</v>
      </c>
      <c r="E59" s="42">
        <v>7.92</v>
      </c>
      <c r="F59" s="40" t="s">
        <v>178</v>
      </c>
      <c r="G59" s="18" t="s">
        <v>182</v>
      </c>
      <c r="H59" s="18" t="s">
        <v>82</v>
      </c>
      <c r="I59" s="42" t="s">
        <v>83</v>
      </c>
      <c r="J59" s="43" t="s">
        <v>120</v>
      </c>
      <c r="K59" s="40">
        <v>2.65</v>
      </c>
      <c r="M59" s="18">
        <v>0.35</v>
      </c>
      <c r="N59" s="18">
        <v>87</v>
      </c>
      <c r="O59" s="18">
        <v>4.22</v>
      </c>
      <c r="P59" s="18">
        <f>$Z$1*(Tabelle1[[#This Row],[Remov. 
(%)]]/100*Tabelle1[[#This Row],[Ry 
(%)]]/100)/Tabelle1[[#This Row],[SEC 
(kWh/m³)]]</f>
        <v>1.1545023696682466</v>
      </c>
      <c r="Q59" s="18">
        <v>56</v>
      </c>
      <c r="R59" s="18">
        <v>0.10100000000000001</v>
      </c>
      <c r="S59" s="42">
        <v>96.2</v>
      </c>
      <c r="T59" s="40">
        <v>2.54</v>
      </c>
      <c r="U59" s="42">
        <v>0.39200000000000002</v>
      </c>
      <c r="V59" s="18">
        <v>7.08</v>
      </c>
      <c r="W59" s="18">
        <v>8.0500000000000007</v>
      </c>
      <c r="X59" s="47"/>
    </row>
    <row r="60" spans="1:24" ht="28.95" customHeight="1" x14ac:dyDescent="0.3">
      <c r="A60" s="137"/>
      <c r="B60" s="73" t="s">
        <v>179</v>
      </c>
      <c r="C60" s="40">
        <v>0.5</v>
      </c>
      <c r="D60" s="18" t="s">
        <v>79</v>
      </c>
      <c r="E60" s="42">
        <v>7.9</v>
      </c>
      <c r="F60" s="89" t="s">
        <v>183</v>
      </c>
      <c r="G60" s="68" t="s">
        <v>184</v>
      </c>
      <c r="H60" s="18" t="s">
        <v>82</v>
      </c>
      <c r="I60" s="42" t="s">
        <v>83</v>
      </c>
      <c r="J60" s="43" t="s">
        <v>120</v>
      </c>
      <c r="K60" s="40">
        <v>2.62</v>
      </c>
      <c r="M60" s="18">
        <v>0.31</v>
      </c>
      <c r="N60" s="18">
        <v>88</v>
      </c>
      <c r="O60" s="18">
        <v>4.38</v>
      </c>
      <c r="P60" s="18">
        <f>$Z$1*(Tabelle1[[#This Row],[Remov. 
(%)]]/100*Tabelle1[[#This Row],[Ry 
(%)]]/100)/Tabelle1[[#This Row],[SEC 
(kWh/m³)]]</f>
        <v>1.1452054794520548</v>
      </c>
      <c r="Q60" s="18">
        <v>57</v>
      </c>
      <c r="R60" s="18">
        <v>0.108</v>
      </c>
      <c r="S60" s="42">
        <v>95.9</v>
      </c>
      <c r="T60" s="40">
        <v>2.52</v>
      </c>
      <c r="U60" s="42">
        <v>0.32800000000000001</v>
      </c>
      <c r="V60" s="18">
        <v>6.98</v>
      </c>
      <c r="W60" s="18">
        <v>8.08</v>
      </c>
      <c r="X60" s="47"/>
    </row>
    <row r="61" spans="1:24" ht="28.95" customHeight="1" x14ac:dyDescent="0.3">
      <c r="A61" s="137"/>
      <c r="B61" s="73" t="s">
        <v>180</v>
      </c>
      <c r="C61" s="40">
        <v>0.5</v>
      </c>
      <c r="D61" s="18" t="s">
        <v>79</v>
      </c>
      <c r="E61" s="42">
        <v>7.92</v>
      </c>
      <c r="F61" s="40" t="s">
        <v>185</v>
      </c>
      <c r="G61" s="18" t="s">
        <v>184</v>
      </c>
      <c r="H61" s="18" t="s">
        <v>82</v>
      </c>
      <c r="I61" s="42" t="s">
        <v>83</v>
      </c>
      <c r="J61" s="43" t="s">
        <v>120</v>
      </c>
      <c r="K61" s="40">
        <v>2.6</v>
      </c>
      <c r="M61" s="18">
        <v>0.33</v>
      </c>
      <c r="N61" s="18">
        <v>88</v>
      </c>
      <c r="O61" s="18">
        <v>4.07</v>
      </c>
      <c r="P61" s="18">
        <f>$Z$1*(Tabelle1[[#This Row],[Remov. 
(%)]]/100*Tabelle1[[#This Row],[Ry 
(%)]]/100)/Tabelle1[[#This Row],[SEC 
(kWh/m³)]]</f>
        <v>1.2756756756756755</v>
      </c>
      <c r="Q61" s="18">
        <v>59</v>
      </c>
      <c r="R61" s="18">
        <v>0.104</v>
      </c>
      <c r="S61" s="42">
        <v>96</v>
      </c>
      <c r="T61" s="40">
        <v>2.5</v>
      </c>
      <c r="U61" s="42">
        <v>0.34399999999999997</v>
      </c>
      <c r="V61" s="18">
        <v>7.03</v>
      </c>
      <c r="W61" s="18">
        <v>8.0299999999999994</v>
      </c>
      <c r="X61" s="47"/>
    </row>
    <row r="62" spans="1:24" ht="28.95" customHeight="1" x14ac:dyDescent="0.3">
      <c r="A62" s="137"/>
      <c r="B62" s="73" t="s">
        <v>194</v>
      </c>
      <c r="C62" s="40">
        <v>0.5</v>
      </c>
      <c r="D62" s="18" t="s">
        <v>79</v>
      </c>
      <c r="E62" s="42">
        <v>7.91</v>
      </c>
      <c r="F62" s="89" t="s">
        <v>189</v>
      </c>
      <c r="G62" s="68" t="s">
        <v>190</v>
      </c>
      <c r="H62" s="18" t="s">
        <v>82</v>
      </c>
      <c r="I62" s="86" t="s">
        <v>191</v>
      </c>
      <c r="J62" s="43" t="s">
        <v>120</v>
      </c>
      <c r="K62" s="40">
        <v>2.73</v>
      </c>
      <c r="M62" s="18">
        <v>0.69</v>
      </c>
      <c r="N62" s="18">
        <v>77</v>
      </c>
      <c r="O62" s="18">
        <v>2.94</v>
      </c>
      <c r="P62" s="18">
        <f>$Z$1*(Tabelle1[[#This Row],[Remov. 
(%)]]/100*Tabelle1[[#This Row],[Ry 
(%)]]/100)/Tabelle1[[#This Row],[SEC 
(kWh/m³)]]</f>
        <v>1.754761904761905</v>
      </c>
      <c r="Q62" s="18">
        <v>67</v>
      </c>
      <c r="R62" s="18">
        <v>0.36299999999999999</v>
      </c>
      <c r="S62" s="42">
        <v>86.7</v>
      </c>
      <c r="T62" s="40">
        <v>2.61</v>
      </c>
      <c r="U62" s="42">
        <v>0.7</v>
      </c>
      <c r="V62" s="18">
        <v>7.37</v>
      </c>
      <c r="W62" s="18">
        <v>8.0399999999999991</v>
      </c>
      <c r="X62" s="47"/>
    </row>
    <row r="63" spans="1:24" ht="28.95" customHeight="1" x14ac:dyDescent="0.3">
      <c r="A63" s="137"/>
      <c r="B63" s="73" t="s">
        <v>186</v>
      </c>
      <c r="C63" s="40">
        <v>0.5</v>
      </c>
      <c r="D63" s="18" t="s">
        <v>79</v>
      </c>
      <c r="E63" s="42">
        <v>7.91</v>
      </c>
      <c r="F63" s="89" t="s">
        <v>192</v>
      </c>
      <c r="G63" s="18" t="s">
        <v>190</v>
      </c>
      <c r="H63" s="18" t="s">
        <v>82</v>
      </c>
      <c r="I63" s="86" t="s">
        <v>193</v>
      </c>
      <c r="J63" s="43" t="s">
        <v>120</v>
      </c>
      <c r="K63" s="40">
        <v>2.66</v>
      </c>
      <c r="M63" s="18">
        <v>1.24</v>
      </c>
      <c r="N63" s="18">
        <v>54</v>
      </c>
      <c r="O63" s="18">
        <v>1.85</v>
      </c>
      <c r="P63" s="18">
        <f>$Z$1*(Tabelle1[[#This Row],[Remov. 
(%)]]/100*Tabelle1[[#This Row],[Ry 
(%)]]/100)/Tabelle1[[#This Row],[SEC 
(kWh/m³)]]</f>
        <v>2.0432432432432437</v>
      </c>
      <c r="Q63" s="18">
        <v>70</v>
      </c>
      <c r="R63" s="18">
        <v>0.90400000000000003</v>
      </c>
      <c r="S63" s="42">
        <v>67</v>
      </c>
      <c r="T63" s="40">
        <v>2.54</v>
      </c>
      <c r="U63" s="42">
        <v>1.28</v>
      </c>
      <c r="V63" s="18">
        <v>7.7</v>
      </c>
      <c r="W63" s="18">
        <v>8.06</v>
      </c>
      <c r="X63" s="47"/>
    </row>
    <row r="64" spans="1:24" ht="28.95" customHeight="1" x14ac:dyDescent="0.3">
      <c r="A64" s="137"/>
      <c r="B64" s="73" t="s">
        <v>187</v>
      </c>
      <c r="C64" s="40">
        <v>0.5</v>
      </c>
      <c r="D64" s="18" t="s">
        <v>79</v>
      </c>
      <c r="E64" s="42">
        <v>7.93</v>
      </c>
      <c r="F64" s="89" t="s">
        <v>185</v>
      </c>
      <c r="G64" s="68" t="s">
        <v>195</v>
      </c>
      <c r="H64" s="18" t="s">
        <v>82</v>
      </c>
      <c r="I64" s="86" t="s">
        <v>83</v>
      </c>
      <c r="J64" s="43" t="s">
        <v>120</v>
      </c>
      <c r="K64" s="40">
        <v>2.67</v>
      </c>
      <c r="M64" s="18">
        <v>0.6</v>
      </c>
      <c r="N64" s="18">
        <v>79</v>
      </c>
      <c r="O64" s="18">
        <v>3.93</v>
      </c>
      <c r="P64" s="18">
        <f>$Z$1*(Tabelle1[[#This Row],[Remov. 
(%)]]/100*Tabelle1[[#This Row],[Ry 
(%)]]/100)/Tabelle1[[#This Row],[SEC 
(kWh/m³)]]</f>
        <v>1.4272264631043259</v>
      </c>
      <c r="Q64" s="18">
        <v>71</v>
      </c>
      <c r="R64" s="18">
        <v>0.16300000000000001</v>
      </c>
      <c r="S64" s="42">
        <v>93.9</v>
      </c>
      <c r="T64" s="40">
        <v>2.57</v>
      </c>
      <c r="U64" s="42">
        <v>0.56100000000000005</v>
      </c>
      <c r="V64" s="18">
        <v>7.33</v>
      </c>
      <c r="W64" s="18">
        <v>8.08</v>
      </c>
      <c r="X64" s="47"/>
    </row>
    <row r="65" spans="1:24" ht="28.95" customHeight="1" thickBot="1" x14ac:dyDescent="0.35">
      <c r="A65" s="138"/>
      <c r="B65" s="74" t="s">
        <v>188</v>
      </c>
      <c r="C65" s="50">
        <v>0.5</v>
      </c>
      <c r="D65" s="51" t="s">
        <v>79</v>
      </c>
      <c r="E65" s="53">
        <v>7.94</v>
      </c>
      <c r="F65" s="50" t="s">
        <v>185</v>
      </c>
      <c r="G65" s="87" t="s">
        <v>196</v>
      </c>
      <c r="H65" s="51" t="s">
        <v>82</v>
      </c>
      <c r="I65" s="53" t="s">
        <v>83</v>
      </c>
      <c r="J65" s="60" t="s">
        <v>120</v>
      </c>
      <c r="K65" s="50">
        <v>2.62</v>
      </c>
      <c r="L65" s="51"/>
      <c r="M65" s="51">
        <v>0.5</v>
      </c>
      <c r="N65" s="51">
        <v>81</v>
      </c>
      <c r="O65" s="51">
        <v>4.1100000000000003</v>
      </c>
      <c r="P65" s="18">
        <f>$Z$1*(Tabelle1[[#This Row],[Remov. 
(%)]]/100*Tabelle1[[#This Row],[Ry 
(%)]]/100)/Tabelle1[[#This Row],[SEC 
(kWh/m³)]]</f>
        <v>1.3007299270072992</v>
      </c>
      <c r="Q65" s="51">
        <v>66</v>
      </c>
      <c r="R65" s="51">
        <v>0.14199999999999999</v>
      </c>
      <c r="S65" s="53">
        <v>94.6</v>
      </c>
      <c r="T65" s="50">
        <v>2.5299999999999998</v>
      </c>
      <c r="U65" s="53">
        <v>0.46899999999999997</v>
      </c>
      <c r="V65" s="51">
        <v>7.31</v>
      </c>
      <c r="W65" s="51">
        <v>8.08</v>
      </c>
      <c r="X65" s="85"/>
    </row>
    <row r="66" spans="1:24" ht="28.95" customHeight="1" x14ac:dyDescent="0.3">
      <c r="A66" s="133" t="s">
        <v>197</v>
      </c>
      <c r="B66" s="91" t="s">
        <v>198</v>
      </c>
      <c r="C66" s="34">
        <v>0.5</v>
      </c>
      <c r="D66" s="35" t="s">
        <v>79</v>
      </c>
      <c r="E66" s="36">
        <v>8</v>
      </c>
      <c r="F66" s="34" t="s">
        <v>104</v>
      </c>
      <c r="G66" s="35" t="s">
        <v>113</v>
      </c>
      <c r="H66" s="35" t="s">
        <v>82</v>
      </c>
      <c r="I66" s="36" t="s">
        <v>83</v>
      </c>
      <c r="J66" s="43" t="s">
        <v>120</v>
      </c>
      <c r="K66" s="34">
        <v>2.02</v>
      </c>
      <c r="L66" s="88"/>
      <c r="M66" s="34">
        <v>0.09</v>
      </c>
      <c r="N66" s="35">
        <v>94</v>
      </c>
      <c r="O66" s="35">
        <v>5.74</v>
      </c>
      <c r="P66" s="18">
        <f>$Z$1*(Tabelle1[[#This Row],[Remov. 
(%)]]/100*Tabelle1[[#This Row],[Ry 
(%)]]/100)/Tabelle1[[#This Row],[SEC 
(kWh/m³)]]</f>
        <v>0.57317073170731703</v>
      </c>
      <c r="Q66" s="35">
        <v>35</v>
      </c>
      <c r="R66" s="35">
        <v>3.1E-2</v>
      </c>
      <c r="S66" s="36">
        <v>98.1</v>
      </c>
      <c r="T66" s="34">
        <v>2.5499999999999998</v>
      </c>
      <c r="U66" s="36">
        <v>0.13600000000000001</v>
      </c>
      <c r="V66" s="34">
        <v>6.78</v>
      </c>
      <c r="W66" s="36">
        <v>8.15</v>
      </c>
      <c r="X66" s="88"/>
    </row>
    <row r="67" spans="1:24" ht="28.95" customHeight="1" x14ac:dyDescent="0.3">
      <c r="A67" s="134"/>
      <c r="B67" s="92">
        <v>7.2</v>
      </c>
      <c r="C67" s="40">
        <v>0.5</v>
      </c>
      <c r="D67" s="18" t="s">
        <v>79</v>
      </c>
      <c r="E67" s="42">
        <v>7.89</v>
      </c>
      <c r="F67" s="89" t="s">
        <v>199</v>
      </c>
      <c r="G67" s="18" t="s">
        <v>113</v>
      </c>
      <c r="H67" s="18" t="s">
        <v>82</v>
      </c>
      <c r="I67" s="42" t="s">
        <v>83</v>
      </c>
      <c r="J67" s="43" t="s">
        <v>120</v>
      </c>
      <c r="K67" s="40">
        <v>2.2599999999999998</v>
      </c>
      <c r="L67" s="7"/>
      <c r="M67" s="40">
        <v>0.17</v>
      </c>
      <c r="N67" s="18">
        <v>91</v>
      </c>
      <c r="O67" s="18">
        <v>5.85</v>
      </c>
      <c r="P67" s="18">
        <f>$Z$1*(Tabelle1[[#This Row],[Remov. 
(%)]]/100*Tabelle1[[#This Row],[Ry 
(%)]]/100)/Tabelle1[[#This Row],[SEC 
(kWh/m³)]]</f>
        <v>0.52888888888888896</v>
      </c>
      <c r="Q67" s="18">
        <v>34</v>
      </c>
      <c r="R67" s="18">
        <v>3.3000000000000002E-2</v>
      </c>
      <c r="S67" s="42">
        <v>98.8</v>
      </c>
      <c r="T67" s="40">
        <v>2.62</v>
      </c>
      <c r="U67" s="42">
        <v>0.23499999999999999</v>
      </c>
      <c r="V67" s="40">
        <v>6.7</v>
      </c>
      <c r="W67" s="42">
        <v>8</v>
      </c>
      <c r="X67" s="7"/>
    </row>
    <row r="68" spans="1:24" ht="28.95" customHeight="1" thickBot="1" x14ac:dyDescent="0.35">
      <c r="A68" s="135"/>
      <c r="B68" s="93">
        <v>7.3</v>
      </c>
      <c r="C68" s="50">
        <v>0.5</v>
      </c>
      <c r="D68" s="51" t="s">
        <v>79</v>
      </c>
      <c r="E68" s="53">
        <v>7.81</v>
      </c>
      <c r="F68" s="90" t="s">
        <v>200</v>
      </c>
      <c r="G68" s="51" t="s">
        <v>113</v>
      </c>
      <c r="H68" s="51" t="s">
        <v>82</v>
      </c>
      <c r="I68" s="53" t="s">
        <v>83</v>
      </c>
      <c r="J68" s="60" t="s">
        <v>120</v>
      </c>
      <c r="K68" s="50">
        <v>1.86</v>
      </c>
      <c r="L68" s="10"/>
      <c r="M68" s="50">
        <v>0.15</v>
      </c>
      <c r="N68" s="51">
        <v>91</v>
      </c>
      <c r="O68" s="51">
        <v>4.6100000000000003</v>
      </c>
      <c r="P68" s="18">
        <f>$Z$1*(Tabelle1[[#This Row],[Remov. 
(%)]]/100*Tabelle1[[#This Row],[Ry 
(%)]]/100)/Tabelle1[[#This Row],[SEC 
(kWh/m³)]]</f>
        <v>0.80932754880694147</v>
      </c>
      <c r="Q68" s="51">
        <v>41</v>
      </c>
      <c r="R68" s="51">
        <v>3.6999999999999998E-2</v>
      </c>
      <c r="S68" s="53">
        <v>97.8</v>
      </c>
      <c r="T68" s="50">
        <v>2.5</v>
      </c>
      <c r="U68" s="53">
        <v>0.20699999999999999</v>
      </c>
      <c r="V68" s="50">
        <v>6.88</v>
      </c>
      <c r="W68" s="53">
        <v>8.0500000000000007</v>
      </c>
      <c r="X68" s="10"/>
    </row>
    <row r="69" spans="1:24" ht="15" customHeight="1" x14ac:dyDescent="0.3">
      <c r="F69" t="s">
        <v>279</v>
      </c>
      <c r="G69" t="s">
        <v>280</v>
      </c>
      <c r="H69" t="s">
        <v>276</v>
      </c>
      <c r="I69" t="s">
        <v>277</v>
      </c>
      <c r="P69" s="18" t="e">
        <f>$Z$1*(Tabelle1[[#This Row],[Remov. 
(%)]]/100*Tabelle1[[#This Row],[Ry 
(%)]]/100)/Tabelle1[[#This Row],[SEC 
(kWh/m³)]]</f>
        <v>#DIV/0!</v>
      </c>
    </row>
    <row r="70" spans="1:24" x14ac:dyDescent="0.3">
      <c r="F70" t="s">
        <v>279</v>
      </c>
      <c r="G70" t="s">
        <v>278</v>
      </c>
      <c r="H70" t="s">
        <v>276</v>
      </c>
      <c r="I70" t="s">
        <v>277</v>
      </c>
      <c r="P70" s="164" t="e">
        <f>$Z$1*(Tabelle1[[#This Row],[Remov. 
(%)]]/100*Tabelle1[[#This Row],[Ry 
(%)]]/100)/Tabelle1[[#This Row],[SEC 
(kWh/m³)]]</f>
        <v>#DIV/0!</v>
      </c>
    </row>
    <row r="78" spans="1:24" ht="40.950000000000003" customHeight="1" x14ac:dyDescent="0.3"/>
  </sheetData>
  <mergeCells count="16">
    <mergeCell ref="A66:A68"/>
    <mergeCell ref="A57:A65"/>
    <mergeCell ref="A22:A48"/>
    <mergeCell ref="A49:A53"/>
    <mergeCell ref="T1:W2"/>
    <mergeCell ref="A4:A13"/>
    <mergeCell ref="A14:A21"/>
    <mergeCell ref="C2:E2"/>
    <mergeCell ref="F2:I2"/>
    <mergeCell ref="K2:Q2"/>
    <mergeCell ref="R2:S2"/>
    <mergeCell ref="A1:A3"/>
    <mergeCell ref="B1:B2"/>
    <mergeCell ref="C1:I1"/>
    <mergeCell ref="J1:J2"/>
    <mergeCell ref="K1:S1"/>
  </mergeCells>
  <conditionalFormatting sqref="L4:L58">
    <cfRule type="colorScale" priority="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4:M13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{13E42877-8033-426B-A4B7-48935D64B75E}</x14:id>
        </ext>
      </extLst>
    </cfRule>
  </conditionalFormatting>
  <conditionalFormatting sqref="M14:M2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{A35A5EAD-F32F-4A38-89ED-E036931BFD6A}</x14:id>
        </ext>
      </extLst>
    </cfRule>
  </conditionalFormatting>
  <conditionalFormatting sqref="M22:M43 M45 M47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{60A67F74-BE99-4E15-B027-E46DA0101A1E}</x14:id>
        </ext>
      </extLst>
    </cfRule>
  </conditionalFormatting>
  <conditionalFormatting sqref="M44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{E2BE9896-C1B0-41F7-8DEB-85B851877E6E}</x14:id>
        </ext>
      </extLst>
    </cfRule>
  </conditionalFormatting>
  <conditionalFormatting sqref="M4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{367D63BF-60D1-4B6D-A39E-CFE1DA34DA9C}</x14:id>
        </ext>
      </extLst>
    </cfRule>
  </conditionalFormatting>
  <conditionalFormatting sqref="M4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{B1BF0302-C1FF-47FE-9634-84BD560B1E85}</x14:id>
        </ext>
      </extLst>
    </cfRule>
  </conditionalFormatting>
  <conditionalFormatting sqref="M49:M53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{6BA1E0BD-9E0D-451A-856B-1AA4AD065A33}</x14:id>
        </ext>
      </extLst>
    </cfRule>
  </conditionalFormatting>
  <conditionalFormatting sqref="M54"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{093B479F-E6B5-4190-B315-949627B23D01}</x14:id>
        </ext>
      </extLst>
    </cfRule>
  </conditionalFormatting>
  <conditionalFormatting sqref="M55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{E1CB3A9B-EC55-4117-ACD8-9E36D6141709}</x14:id>
        </ext>
      </extLst>
    </cfRule>
  </conditionalFormatting>
  <conditionalFormatting sqref="M5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{860F53D5-EBA2-4FFF-879F-3D83FFDA105D}</x14:id>
        </ext>
      </extLst>
    </cfRule>
  </conditionalFormatting>
  <conditionalFormatting sqref="M81:M1048576 M1:M68">
    <cfRule type="dataBar" priority="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{A03046DE-9D93-4C1C-8C98-EE3E0E91645C}</x14:id>
        </ext>
      </extLst>
    </cfRule>
  </conditionalFormatting>
  <conditionalFormatting sqref="P4:P70">
    <cfRule type="dataBar" priority="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{AB591D5A-3810-478C-9210-EEC99CC160FF}</x14:id>
        </ext>
      </extLst>
    </cfRule>
  </conditionalFormatting>
  <conditionalFormatting sqref="Q57:Q6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{5684A2BD-41AE-4C19-8812-1247E4754D57}</x14:id>
        </ext>
      </extLst>
    </cfRule>
  </conditionalFormatting>
  <conditionalFormatting sqref="Q81:Q1048576 Q1:Q68">
    <cfRule type="dataBar" priority="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{CC7AFC54-448A-40F8-BE98-E8736DFE66EB}</x14:id>
        </ext>
      </extLst>
    </cfRule>
  </conditionalFormatting>
  <conditionalFormatting sqref="S57:S6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{84F64FF1-22CF-454B-B918-45EF3A5D094D}</x14:id>
        </ext>
      </extLst>
    </cfRule>
  </conditionalFormatting>
  <conditionalFormatting sqref="S57:S6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{C79BF228-7B4F-4F52-86A9-050F0C15938A}</x14:id>
        </ext>
      </extLst>
    </cfRule>
  </conditionalFormatting>
  <conditionalFormatting sqref="S57:S6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{0AC11E8E-B68C-47F4-BEE4-6F81C7BD3752}</x14:id>
        </ext>
      </extLst>
    </cfRule>
  </conditionalFormatting>
  <conditionalFormatting sqref="S81:S1048576 S1:S6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{8B3B1BB2-0B83-49DE-A965-19418D4E65E0}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E42877-8033-426B-A4B7-48935D64B75E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M4:M13</xm:sqref>
        </x14:conditionalFormatting>
        <x14:conditionalFormatting xmlns:xm="http://schemas.microsoft.com/office/excel/2006/main">
          <x14:cfRule type="dataBar" id="{A35A5EAD-F32F-4A38-89ED-E036931BFD6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M14:M21</xm:sqref>
        </x14:conditionalFormatting>
        <x14:conditionalFormatting xmlns:xm="http://schemas.microsoft.com/office/excel/2006/main">
          <x14:cfRule type="dataBar" id="{60A67F74-BE99-4E15-B027-E46DA0101A1E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M22:M43 M45 M47</xm:sqref>
        </x14:conditionalFormatting>
        <x14:conditionalFormatting xmlns:xm="http://schemas.microsoft.com/office/excel/2006/main">
          <x14:cfRule type="dataBar" id="{E2BE9896-C1B0-41F7-8DEB-85B851877E6E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M44</xm:sqref>
        </x14:conditionalFormatting>
        <x14:conditionalFormatting xmlns:xm="http://schemas.microsoft.com/office/excel/2006/main">
          <x14:cfRule type="dataBar" id="{367D63BF-60D1-4B6D-A39E-CFE1DA34DA9C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B1BF0302-C1FF-47FE-9634-84BD560B1E85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M48</xm:sqref>
        </x14:conditionalFormatting>
        <x14:conditionalFormatting xmlns:xm="http://schemas.microsoft.com/office/excel/2006/main">
          <x14:cfRule type="dataBar" id="{6BA1E0BD-9E0D-451A-856B-1AA4AD065A33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M49:M53</xm:sqref>
        </x14:conditionalFormatting>
        <x14:conditionalFormatting xmlns:xm="http://schemas.microsoft.com/office/excel/2006/main">
          <x14:cfRule type="dataBar" id="{093B479F-E6B5-4190-B315-949627B23D01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M54</xm:sqref>
        </x14:conditionalFormatting>
        <x14:conditionalFormatting xmlns:xm="http://schemas.microsoft.com/office/excel/2006/main">
          <x14:cfRule type="dataBar" id="{E1CB3A9B-EC55-4117-ACD8-9E36D6141709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M55</xm:sqref>
        </x14:conditionalFormatting>
        <x14:conditionalFormatting xmlns:xm="http://schemas.microsoft.com/office/excel/2006/main">
          <x14:cfRule type="dataBar" id="{860F53D5-EBA2-4FFF-879F-3D83FFDA105D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M56</xm:sqref>
        </x14:conditionalFormatting>
        <x14:conditionalFormatting xmlns:xm="http://schemas.microsoft.com/office/excel/2006/main">
          <x14:cfRule type="dataBar" id="{A03046DE-9D93-4C1C-8C98-EE3E0E9164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M81:M1048576 M1:M68</xm:sqref>
        </x14:conditionalFormatting>
        <x14:conditionalFormatting xmlns:xm="http://schemas.microsoft.com/office/excel/2006/main">
          <x14:cfRule type="dataBar" id="{AB591D5A-3810-478C-9210-EEC99CC16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P4:P70</xm:sqref>
        </x14:conditionalFormatting>
        <x14:conditionalFormatting xmlns:xm="http://schemas.microsoft.com/office/excel/2006/main">
          <x14:cfRule type="dataBar" id="{5684A2BD-41AE-4C19-8812-1247E4754D5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Q57:Q67</xm:sqref>
        </x14:conditionalFormatting>
        <x14:conditionalFormatting xmlns:xm="http://schemas.microsoft.com/office/excel/2006/main">
          <x14:cfRule type="dataBar" id="{CC7AFC54-448A-40F8-BE98-E8736DFE66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Q81:Q1048576 Q1:Q68</xm:sqref>
        </x14:conditionalFormatting>
        <x14:conditionalFormatting xmlns:xm="http://schemas.microsoft.com/office/excel/2006/main">
          <x14:cfRule type="dataBar" id="{84F64FF1-22CF-454B-B918-45EF3A5D09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S57:S62</xm:sqref>
        </x14:conditionalFormatting>
        <x14:conditionalFormatting xmlns:xm="http://schemas.microsoft.com/office/excel/2006/main">
          <x14:cfRule type="dataBar" id="{C79BF228-7B4F-4F52-86A9-050F0C1593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S57:S63</xm:sqref>
        </x14:conditionalFormatting>
        <x14:conditionalFormatting xmlns:xm="http://schemas.microsoft.com/office/excel/2006/main">
          <x14:cfRule type="dataBar" id="{0AC11E8E-B68C-47F4-BEE4-6F81C7BD3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S57:S66</xm:sqref>
        </x14:conditionalFormatting>
        <x14:conditionalFormatting xmlns:xm="http://schemas.microsoft.com/office/excel/2006/main">
          <x14:cfRule type="dataBar" id="{8B3B1BB2-0B83-49DE-A965-19418D4E6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S81:S1048576 S1:S68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125" zoomScaleNormal="125" workbookViewId="0">
      <selection activeCell="I35" sqref="I35"/>
    </sheetView>
  </sheetViews>
  <sheetFormatPr baseColWidth="10" defaultColWidth="11.5546875" defaultRowHeight="14.4" x14ac:dyDescent="0.3"/>
  <cols>
    <col min="2" max="2" width="12.44140625" customWidth="1"/>
  </cols>
  <sheetData>
    <row r="1" spans="1:5" ht="15.6" x14ac:dyDescent="0.3">
      <c r="A1" s="162" t="s">
        <v>43</v>
      </c>
      <c r="B1" s="162"/>
      <c r="C1" s="163" t="s">
        <v>44</v>
      </c>
      <c r="D1" s="163"/>
      <c r="E1" s="163"/>
    </row>
    <row r="2" spans="1:5" ht="28.8" x14ac:dyDescent="0.3">
      <c r="A2" s="16" t="s">
        <v>45</v>
      </c>
      <c r="B2" s="16" t="s">
        <v>46</v>
      </c>
      <c r="C2" s="17" t="s">
        <v>47</v>
      </c>
      <c r="D2" s="17" t="s">
        <v>48</v>
      </c>
      <c r="E2" s="17" t="s">
        <v>49</v>
      </c>
    </row>
    <row r="3" spans="1:5" x14ac:dyDescent="0.3">
      <c r="A3" s="18">
        <v>0.5</v>
      </c>
      <c r="B3" s="19">
        <f>Tabelle2[[#This Row],[c NH4+
in mg/L]]*79.056/18.04</f>
        <v>2.1911308203991133</v>
      </c>
      <c r="C3" s="18">
        <v>21</v>
      </c>
      <c r="D3" s="18">
        <v>15.7</v>
      </c>
      <c r="E3" s="18" t="s">
        <v>50</v>
      </c>
    </row>
    <row r="4" spans="1:5" x14ac:dyDescent="0.3">
      <c r="A4" s="18">
        <v>1</v>
      </c>
      <c r="B4" s="19">
        <f>Tabelle2[[#This Row],[c NH4+
in mg/L]]*79.056/18.04</f>
        <v>4.3822616407982267</v>
      </c>
      <c r="C4" s="18">
        <v>21.3</v>
      </c>
      <c r="D4" s="18">
        <v>22.8</v>
      </c>
      <c r="E4" s="18">
        <v>7.3</v>
      </c>
    </row>
    <row r="5" spans="1:5" x14ac:dyDescent="0.3">
      <c r="A5" s="18">
        <v>5</v>
      </c>
      <c r="B5" s="19">
        <f>Tabelle2[[#This Row],[c NH4+
in mg/L]]*79.056/18.04</f>
        <v>21.91130820399113</v>
      </c>
      <c r="C5" s="18">
        <v>21</v>
      </c>
      <c r="D5" s="18">
        <v>40.1</v>
      </c>
      <c r="E5" s="18">
        <v>7.76</v>
      </c>
    </row>
    <row r="6" spans="1:5" x14ac:dyDescent="0.3">
      <c r="A6" s="18">
        <v>10</v>
      </c>
      <c r="B6" s="19">
        <f>Tabelle2[[#This Row],[c NH4+
in mg/L]]*79.056/18.04</f>
        <v>43.82261640798226</v>
      </c>
      <c r="C6" s="18">
        <v>21</v>
      </c>
      <c r="D6" s="18">
        <v>72.400000000000006</v>
      </c>
      <c r="E6" s="18">
        <v>7.85</v>
      </c>
    </row>
    <row r="7" spans="1:5" x14ac:dyDescent="0.3">
      <c r="A7" s="18">
        <v>15</v>
      </c>
      <c r="B7" s="19">
        <f>Tabelle2[[#This Row],[c NH4+
in mg/L]]*79.056/18.04</f>
        <v>65.733924611973393</v>
      </c>
      <c r="C7" s="18">
        <v>20.7</v>
      </c>
      <c r="D7" s="18">
        <v>94.8</v>
      </c>
      <c r="E7" s="18">
        <v>7.98</v>
      </c>
    </row>
    <row r="8" spans="1:5" x14ac:dyDescent="0.3">
      <c r="A8" s="18">
        <v>20</v>
      </c>
      <c r="B8" s="19">
        <f>Tabelle2[[#This Row],[c NH4+
in mg/L]]*79.056/18.04</f>
        <v>87.645232815964519</v>
      </c>
      <c r="C8" s="18">
        <v>20.6</v>
      </c>
      <c r="D8" s="18">
        <v>164</v>
      </c>
      <c r="E8" s="18">
        <v>7.91</v>
      </c>
    </row>
    <row r="9" spans="1:5" x14ac:dyDescent="0.3">
      <c r="A9" s="18">
        <v>50</v>
      </c>
      <c r="B9" s="19">
        <f>Tabelle2[[#This Row],[c NH4+
in mg/L]]*79.056/18.04</f>
        <v>219.11308203991129</v>
      </c>
      <c r="C9" s="18">
        <v>21</v>
      </c>
      <c r="D9" s="18">
        <v>311</v>
      </c>
      <c r="E9" s="18" t="s">
        <v>50</v>
      </c>
    </row>
    <row r="10" spans="1:5" x14ac:dyDescent="0.3">
      <c r="A10" s="18">
        <v>100</v>
      </c>
      <c r="B10" s="19">
        <f>Tabelle2[[#This Row],[c NH4+
in mg/L]]*79.056/18.04</f>
        <v>438.22616407982258</v>
      </c>
      <c r="C10" s="18">
        <v>21</v>
      </c>
      <c r="D10" s="18">
        <v>628</v>
      </c>
      <c r="E10" s="18" t="s">
        <v>50</v>
      </c>
    </row>
    <row r="11" spans="1:5" x14ac:dyDescent="0.3">
      <c r="A11" s="18">
        <v>250</v>
      </c>
      <c r="B11" s="19">
        <f>Tabelle2[[#This Row],[c NH4+
in mg/L]]*79.056/18.04</f>
        <v>1095.5654101995565</v>
      </c>
      <c r="C11" s="20">
        <v>20.9</v>
      </c>
      <c r="D11" s="18">
        <v>1471</v>
      </c>
      <c r="E11" s="18" t="s">
        <v>50</v>
      </c>
    </row>
    <row r="12" spans="1:5" x14ac:dyDescent="0.3">
      <c r="A12" s="18">
        <v>500</v>
      </c>
      <c r="B12" s="19">
        <f>Tabelle2[[#This Row],[c NH4+
in mg/L]]*79.056/18.04</f>
        <v>2191.130820399113</v>
      </c>
      <c r="C12" s="18">
        <v>20.9</v>
      </c>
      <c r="D12" s="18">
        <v>2630</v>
      </c>
      <c r="E12" s="18" t="s">
        <v>50</v>
      </c>
    </row>
    <row r="13" spans="1:5" x14ac:dyDescent="0.3">
      <c r="A13" s="18">
        <v>750</v>
      </c>
      <c r="B13" s="19">
        <f>Tabelle2[[#This Row],[c NH4+
in mg/L]]*79.056/18.04</f>
        <v>3286.6962305986699</v>
      </c>
      <c r="C13" s="18">
        <v>20.8</v>
      </c>
      <c r="D13" s="18">
        <v>4170</v>
      </c>
      <c r="E13" s="18" t="s">
        <v>50</v>
      </c>
    </row>
    <row r="14" spans="1:5" x14ac:dyDescent="0.3">
      <c r="A14" s="18">
        <v>1000</v>
      </c>
      <c r="B14" s="19">
        <f>Tabelle2[[#This Row],[c NH4+
in mg/L]]*79.056/18.04</f>
        <v>4382.2616407982259</v>
      </c>
      <c r="C14" s="18">
        <v>20.8</v>
      </c>
      <c r="D14" s="18">
        <v>5480</v>
      </c>
      <c r="E14" s="18" t="s">
        <v>50</v>
      </c>
    </row>
    <row r="15" spans="1:5" x14ac:dyDescent="0.3">
      <c r="A15" s="18"/>
      <c r="B15" s="18">
        <f>Tabelle2[[#This Row],[c NH4+
in mg/L]]*79.056/18.04</f>
        <v>0</v>
      </c>
      <c r="C15" s="18"/>
      <c r="D15" s="18"/>
      <c r="E15" s="18"/>
    </row>
    <row r="16" spans="1:5" x14ac:dyDescent="0.3">
      <c r="A16" s="18"/>
      <c r="B16" s="18">
        <f>Tabelle2[[#This Row],[c NH4+
in mg/L]]*79.056/18.04</f>
        <v>0</v>
      </c>
      <c r="C16" s="18"/>
      <c r="D16" s="18"/>
      <c r="E16" s="18"/>
    </row>
    <row r="20" spans="1:4" x14ac:dyDescent="0.3">
      <c r="A20" s="21"/>
      <c r="B20" s="21"/>
      <c r="C20" s="21"/>
      <c r="D20" s="21"/>
    </row>
    <row r="36" spans="1:2" x14ac:dyDescent="0.3">
      <c r="A36" s="22"/>
      <c r="B36" s="22"/>
    </row>
    <row r="37" spans="1:2" x14ac:dyDescent="0.3">
      <c r="A37" s="18"/>
      <c r="B37" s="18"/>
    </row>
    <row r="38" spans="1:2" x14ac:dyDescent="0.3">
      <c r="A38" s="18"/>
      <c r="B38" s="18"/>
    </row>
    <row r="39" spans="1:2" x14ac:dyDescent="0.3">
      <c r="A39" s="18"/>
      <c r="B39" s="18"/>
    </row>
    <row r="40" spans="1:2" x14ac:dyDescent="0.3">
      <c r="A40" s="18"/>
      <c r="B40" s="18"/>
    </row>
    <row r="41" spans="1:2" x14ac:dyDescent="0.3">
      <c r="A41" s="18"/>
      <c r="B41" s="18"/>
    </row>
    <row r="42" spans="1:2" x14ac:dyDescent="0.3">
      <c r="A42" s="18"/>
      <c r="B42" s="18"/>
    </row>
    <row r="43" spans="1:2" x14ac:dyDescent="0.3">
      <c r="A43" s="18"/>
      <c r="B43" s="18"/>
    </row>
    <row r="44" spans="1:2" x14ac:dyDescent="0.3">
      <c r="A44" s="18"/>
      <c r="B44" s="18"/>
    </row>
    <row r="45" spans="1:2" x14ac:dyDescent="0.3">
      <c r="A45" s="18"/>
      <c r="B45" s="18"/>
    </row>
    <row r="46" spans="1:2" x14ac:dyDescent="0.3">
      <c r="A46" s="18"/>
      <c r="B46" s="18"/>
    </row>
    <row r="47" spans="1:2" x14ac:dyDescent="0.3">
      <c r="A47" s="18"/>
      <c r="B47" s="18"/>
    </row>
    <row r="48" spans="1:2" x14ac:dyDescent="0.3">
      <c r="A48" s="18"/>
      <c r="B48" s="18"/>
    </row>
  </sheetData>
  <mergeCells count="2">
    <mergeCell ref="A1:B1"/>
    <mergeCell ref="C1:E1"/>
  </mergeCells>
  <pageMargins left="0.7" right="0.7" top="0.78749999999999998" bottom="0.78749999999999998" header="0.511811023622047" footer="0.511811023622047"/>
  <pageSetup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89213-9FF3-4120-A079-88F50ED54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1 - MCDI System</vt:lpstr>
      <vt:lpstr>2 - MCDI Parameters</vt:lpstr>
      <vt:lpstr>3 - MCDI Procedure</vt:lpstr>
      <vt:lpstr>Parametric Analysis</vt:lpstr>
      <vt:lpstr>X - ABC characterization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Schäuble</dc:creator>
  <dc:description/>
  <cp:lastModifiedBy>Nick Schäuble</cp:lastModifiedBy>
  <cp:revision>1</cp:revision>
  <dcterms:created xsi:type="dcterms:W3CDTF">2024-12-07T19:36:24Z</dcterms:created>
  <dcterms:modified xsi:type="dcterms:W3CDTF">2025-05-14T09:57:25Z</dcterms:modified>
  <dc:language>en-US</dc:language>
</cp:coreProperties>
</file>